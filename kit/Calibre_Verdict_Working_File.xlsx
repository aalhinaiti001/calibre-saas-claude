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00 Setup" sheetId="2" state="visible" r:id="rId4"/>
    <sheet name="01 Rubric" sheetId="3" state="visible" r:id="rId5"/>
    <sheet name="02 Scores" sheetId="4" state="visible" r:id="rId6"/>
    <sheet name="03 Divergence" sheetId="5" state="visible" r:id="rId7"/>
    <sheet name="04 Calibration" sheetId="6" state="visible" r:id="rId8"/>
    <sheet name="05 Results" sheetId="7" state="visible" r:id="rId9"/>
    <sheet name="06 Outcom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<sst xmlns="http://schemas.openxmlformats.org/spreadsheetml/2006/main" count="432" uniqueCount="228">
  <si>
    <t xml:space="preserve">CALIBRE BY DAFTAR</t>
  </si>
  <si>
    <t xml:space="preserve">Calibre Verdict · working file</t>
  </si>
  <si>
    <t xml:space="preserve">One workbook per engagement. Complete the sheets in order. Nothing is scored before sheet 01 is locked.</t>
  </si>
  <si>
    <t xml:space="preserve">Sheet</t>
  </si>
  <si>
    <t xml:space="preserve">What it is for</t>
  </si>
  <si>
    <t xml:space="preserve">Rule</t>
  </si>
  <si>
    <t xml:space="preserve">00 Setup</t>
  </si>
  <si>
    <t xml:space="preserve">Panel, finalists and engagement dates</t>
  </si>
  <si>
    <t xml:space="preserve">Two to five panelists, one of them the hiring lead. Two to six finalists, K1 to K6, in the order received.</t>
  </si>
  <si>
    <t xml:space="preserve">01 Rubric</t>
  </si>
  <si>
    <t xml:space="preserve">The criteria, weights and anchors</t>
  </si>
  <si>
    <t xml:space="preserve">Four to nine criteria, whole-number weights totalling 100. Locked before any finalist is scored; never changed after the first score.</t>
  </si>
  <si>
    <t xml:space="preserve">02 Scores</t>
  </si>
  <si>
    <t xml:space="preserve">Every panelist's score and evidence note</t>
  </si>
  <si>
    <t xml:space="preserve">Enter only after every panelist has submitted, or the scoring deadline has passed. Scores are never edited afterwards.</t>
  </si>
  <si>
    <t xml:space="preserve">03 Divergence</t>
  </si>
  <si>
    <t xml:space="preserve">The spread across panelists</t>
  </si>
  <si>
    <t xml:space="preserve">Calculated. A spread of 2 is a divergence, 3 or 4 a contradiction. Scores of 0 (no evidence) are excluded from the spread.</t>
  </si>
  <si>
    <t xml:space="preserve">04 Calibration</t>
  </si>
  <si>
    <t xml:space="preserve">The resolution of every flagged cell</t>
  </si>
  <si>
    <t xml:space="preserve">Enter an agreed score and a written reason for each flagged cell. The original scores on sheet 02 stay as they are.</t>
  </si>
  <si>
    <t xml:space="preserve">05 Results</t>
  </si>
  <si>
    <t xml:space="preserve">Calibrated scores and the weighted result</t>
  </si>
  <si>
    <t xml:space="preserve">Calculated. Entry order only: never sort, colour or label finalists. The weighted result is advisory.</t>
  </si>
  <si>
    <t xml:space="preserve">06 Outcomes</t>
  </si>
  <si>
    <t xml:space="preserve">The 90, 180 and 365-day follow-up</t>
  </si>
  <si>
    <t xml:space="preserve">Four questions at each checkpoint, recorded by initials only.</t>
  </si>
  <si>
    <t xml:space="preserve">Legend</t>
  </si>
  <si>
    <t xml:space="preserve">Shaded cells are for entry. Every other value is a formula; do not overwrite it.</t>
  </si>
  <si>
    <t xml:space="preserve">Score</t>
  </si>
  <si>
    <t xml:space="preserve">Meaning</t>
  </si>
  <si>
    <t xml:space="preserve">When to use it</t>
  </si>
  <si>
    <t xml:space="preserve">Strong evidence, exceeds the requirement</t>
  </si>
  <si>
    <t xml:space="preserve">Anchor 5 met, evidenced in the record.</t>
  </si>
  <si>
    <t xml:space="preserve">Above the requirement</t>
  </si>
  <si>
    <t xml:space="preserve">Between anchors 3 and 5.</t>
  </si>
  <si>
    <t xml:space="preserve">Meets the requirement</t>
  </si>
  <si>
    <t xml:space="preserve">Anchor 3 met, evidenced in the record.</t>
  </si>
  <si>
    <t xml:space="preserve">Partially meets</t>
  </si>
  <si>
    <t xml:space="preserve">Between anchors 1 and 3.</t>
  </si>
  <si>
    <t xml:space="preserve">Does not meet</t>
  </si>
  <si>
    <t xml:space="preserve">Anchor 1 describes the evidence.</t>
  </si>
  <si>
    <t xml:space="preserve">No evidence supplied</t>
  </si>
  <si>
    <t xml:space="preserve">Not assessable on the evidence provided. Recorded as a gap, never as a low score, and excluded from the spread.</t>
  </si>
  <si>
    <t xml:space="preserve">Evidence basis</t>
  </si>
  <si>
    <t xml:space="preserve">Definition</t>
  </si>
  <si>
    <t xml:space="preserve">Documented</t>
  </si>
  <si>
    <t xml:space="preserve">Written evidence in the file: CV detail, work product, a test result, a reference supplied by the client.</t>
  </si>
  <si>
    <t xml:space="preserve">Interview-stated</t>
  </si>
  <si>
    <t xml:space="preserve">The candidate said it in interview; not corroborated elsewhere.</t>
  </si>
  <si>
    <t xml:space="preserve">Inferred</t>
  </si>
  <si>
    <t xml:space="preserve">Not stated; inferred from role titles, tenure or employer. Named as inference in the Verdict.</t>
  </si>
  <si>
    <t xml:space="preserve">None</t>
  </si>
  <si>
    <t xml:space="preserve">No evidence either way. Score 0 and record the gap.</t>
  </si>
  <si>
    <t xml:space="preserve">Example entry</t>
  </si>
  <si>
    <t xml:space="preserve">K1 · C2</t>
  </si>
  <si>
    <t xml:space="preserve">Score 3 · Documented · "CV and second interview note of 12 May: owned the monthly close for a five-entity group. Does not establish listed-group reporting." Evidence notes run to at least 40 characters, naming the source and the fact.</t>
  </si>
  <si>
    <t xml:space="preserve">Not in scope</t>
  </si>
  <si>
    <t xml:space="preserve">Candidate sourcing, interview scheduling, reference checks, offer negotiation</t>
  </si>
  <si>
    <t xml:space="preserve">Psychometric, personality, work-style, culture or fit assessment</t>
  </si>
  <si>
    <t xml:space="preserve">Automated candidate ranking, or any recommendation generated by a model</t>
  </si>
  <si>
    <t xml:space="preserve">The hiring decision itself</t>
  </si>
  <si>
    <t xml:space="preserve">Fonts</t>
  </si>
  <si>
    <t xml:space="preserve">Set in Lora and Plus Jakarta Sans (both free, SIL Open Font License). Install them, or Excel substitutes another face.</t>
  </si>
  <si>
    <t xml:space="preserve">Use statement</t>
  </si>
  <si>
    <t xml:space="preserve">Structured hiring advisory for finance roles. Not a psychometric assessment. Does not predict performance. The decision, and its consequences, rest with the employer.</t>
  </si>
  <si>
    <t xml:space="preserve">00 · Setup</t>
  </si>
  <si>
    <t xml:space="preserve">The panel, the finalists and the dates. Names are used on the working sheets; the Verdict uses initials.</t>
  </si>
  <si>
    <t xml:space="preserve">Engagement</t>
  </si>
  <si>
    <t xml:space="preserve">Engagement reference</t>
  </si>
  <si>
    <t xml:space="preserve">Ref</t>
  </si>
  <si>
    <t xml:space="preserve">Panelist</t>
  </si>
  <si>
    <t xml:space="preserve">Title</t>
  </si>
  <si>
    <t xml:space="preserve">Hiring lead</t>
  </si>
  <si>
    <t xml:space="preserve">Email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</si>
  <si>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</si>
  <si>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</si>
  <si>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</si>
  <si>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</si>
  <si>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</si>
  <si>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Panelists named</t>
  </si>
  <si>
    <t xml:space="preserve">Initials</t>
  </si>
  <si>
    <t xml:space="preserve">Name (purged 90 days after issue)</t>
  </si>
  <si>
    <t xml:space="preserve">Notice sent</t>
  </si>
  <si>
    <t xml:space="preserve">Source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</si>
  <si>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</si>
  <si>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</si>
  <si>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</si>
  <si>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</si>
  <si>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</si>
  <si>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</si>
  <si>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Finalists named</t>
  </si>
  <si>
    <t xml:space="preserve">Date</t>
  </si>
  <si>
    <t xml:space="preserve">Rubric locked</t>
  </si>
  <si>
    <t xml:space="preserve">Scoring deadline</t>
  </si>
  <si>
    <t xml:space="preserve">Calibration session</t>
  </si>
  <si>
    <t xml:space="preserve">Verdict issued</t>
  </si>
  <si>
    <t xml:space="preserve">Personal data purge due</t>
  </si>
  <si>
    <t xml:space="preserve">01 · Rubric</t>
  </si>
  <si>
    <t xml:space="preserve">Amend wording, must or preferred, and weights at intake. Four to nine criteria. Leave unused rows blank. Once locked, nothing here changes.</t>
  </si>
  <si>
    <t xml:space="preserve">Locked on</t>
  </si>
  <si>
    <t xml:space="preserve">Criterion</t>
  </si>
  <si>
    <t xml:space="preserve">Must / Preferred</t>
  </si>
  <si>
    <t xml:space="preserve">Weight %</t>
  </si>
  <si>
    <t xml:space="preserve">Anchor 1: does not meet</t>
  </si>
  <si>
    <t xml:space="preserve">Anchor 3: meets</t>
  </si>
  <si>
    <t xml:space="preserve">Anchor 5: strong evidence</t>
  </si>
  <si>
    <t xml:space="preserve">C1</t>
  </si>
  <si>
    <t xml:space="preserve">Technical accounting and IFRS application</t>
  </si>
  <si>
    <t xml:space="preserve">Must</t>
  </si>
  <si>
    <t xml:space="preserve">No evidence of applying a standard beyond routine bookkeeping; cannot name the standards governing the entity's material balances.</t>
  </si>
  <si>
    <t xml:space="preserve">Has applied the standards material to this entity (e.g. revenue, leases, impairment) in a prior role and can explain one judgement they made and why.</t>
  </si>
  <si>
    <t xml:space="preserve">Has owned a contested technical judgement end to end - position paper, auditor challenge, resolution - and can walk through the alternative treatment they rejected.</t>
  </si>
  <si>
    <t xml:space="preserve">C2</t>
  </si>
  <si>
    <t xml:space="preserve">Financial reporting and close ownership</t>
  </si>
  <si>
    <t xml:space="preserve">Has contributed to a close but never owned a timetable or a deliverable date.</t>
  </si>
  <si>
    <t xml:space="preserve">Has owned a monthly or quarterly close of comparable size and complexity, including the reconciliations and the reporting pack.</t>
  </si>
  <si>
    <t xml:space="preserve">Has owned close end to end and materially improved it - days reduced, adjustments cut, or a first-time consolidation delivered - with numbers they can state.</t>
  </si>
  <si>
    <t xml:space="preserve">C3</t>
  </si>
  <si>
    <t xml:space="preserve">Controls, compliance and audit readiness</t>
  </si>
  <si>
    <t xml:space="preserve">Treats controls as an audit request; no evidence of designing or operating one.</t>
  </si>
  <si>
    <t xml:space="preserve">Has run an audit as the entity-side owner: PBC list, sample support, auditor queries closed within the timetable.</t>
  </si>
  <si>
    <t xml:space="preserve">Has designed or remediated a control that failed, and can describe the failure, the fix, and how they evidenced the fix to the auditor.</t>
  </si>
  <si>
    <t xml:space="preserve">C4</t>
  </si>
  <si>
    <t xml:space="preserve">Planning, budgeting and forecasting</t>
  </si>
  <si>
    <t xml:space="preserve">Has populated a budget template but not built the model or owned the assumptions.</t>
  </si>
  <si>
    <t xml:space="preserve">Has built and maintained a budget or rolling forecast for the entity, and can explain the two or three assumptions that actually drive it.</t>
  </si>
  <si>
    <t xml:space="preserve">Has run a forecast through a decision that mattered - a cut, a raise, a covenant - and can state where the forecast was wrong and what they changed as a result.</t>
  </si>
  <si>
    <t xml:space="preserve">C5</t>
  </si>
  <si>
    <t xml:space="preserve">Cash, treasury and working capital</t>
  </si>
  <si>
    <t xml:space="preserve">Preferred</t>
  </si>
  <si>
    <t xml:space="preserve">No ownership of a cash position or a payment cycle.</t>
  </si>
  <si>
    <t xml:space="preserve">Has owned a cash forecast and a payment run, and understands the entity's working-capital cycle.</t>
  </si>
  <si>
    <t xml:space="preserve">Has managed a genuine liquidity constraint - covenant, facility, or collection crisis - and can describe the trade-offs they made.</t>
  </si>
  <si>
    <t xml:space="preserve">C6</t>
  </si>
  <si>
    <t xml:space="preserve">Systems, data and reporting tooling</t>
  </si>
  <si>
    <t xml:space="preserve">Works only inside a single ERP screen; spreadsheets are manual and unstructured.</t>
  </si>
  <si>
    <t xml:space="preserve">Is fluent in the entity's ERP class and can build the reporting that sits on top of it without help.</t>
  </si>
  <si>
    <t xml:space="preserve">Has led or materially supported an implementation, migration, or reporting rebuild, and can describe what broke and how they handled it.</t>
  </si>
  <si>
    <t xml:space="preserve">C7</t>
  </si>
  <si>
    <t xml:space="preserve">Team leadership and delegation</t>
  </si>
  <si>
    <t xml:space="preserve">Individual contributor only; no evidence of supervising or reviewing others' work.</t>
  </si>
  <si>
    <t xml:space="preserve">Has supervised a team of comparable size, including review of their work and management of the close timetable across them.</t>
  </si>
  <si>
    <t xml:space="preserve">Has hired, developed, or performance-managed finance staff, and can describe a specific person whose capability they measurably changed.</t>
  </si>
  <si>
    <t xml:space="preserve">C8</t>
  </si>
  <si>
    <t xml:space="preserve">Stakeholder communication and reporting</t>
  </si>
  <si>
    <t xml:space="preserve">Communicates in ledger terms; cannot explain a number to a non-finance audience.</t>
  </si>
  <si>
    <t xml:space="preserve">Presents regularly to management or the board and can translate a variance into a business cause without prompting.</t>
  </si>
  <si>
    <t xml:space="preserve">Has held a position under real challenge - from a board, an auditor, a lender, or a regulator - and can describe how they evidenced it.</t>
  </si>
  <si>
    <t xml:space="preserve">C9</t>
  </si>
  <si>
    <t xml:space="preserve">Jurisdictional and regulatory exposure</t>
  </si>
  <si>
    <t xml:space="preserve">No exposure to the entity's tax or regulatory regime.</t>
  </si>
  <si>
    <t xml:space="preserve">Has operated under the entity's regime (e.g. UAE corporate tax, VAT, ZATCA, free-zone rules) and knows the filing calendar that applies.</t>
  </si>
  <si>
    <t xml:space="preserve">Has taken the entity or a comparable one through a first filing, an assessment, or a regime change, and can describe the position taken.</t>
  </si>
  <si>
    <t xml:space="preserve">Total</t>
  </si>
  <si>
    <t xml:space="preserve">Criteria in use</t>
  </si>
  <si>
    <t xml:space="preserve">Lock check</t>
  </si>
  <si>
    <t xml:space="preserve">Default finance rubric and anchors from the Calibre kit v1.0 working file. No criterion may touch personality, health or a protected characteristic.</t>
  </si>
  <si>
    <t xml:space="preserve">02 · Scores before calibration</t>
  </si>
  <si>
    <t xml:space="preserve">One row per finalist and criterion. Enter each panelist's score, evidence basis and note after all have submitted. Never edit a score once entered.</t>
  </si>
  <si>
    <t xml:space="preserve">Scores entered</t>
  </si>
  <si>
    <t xml:space="preserve">Finalist</t>
  </si>
  <si>
    <t xml:space="preserve">Weight</t>
  </si>
  <si>
    <t xml:space="preserve">P1 score</t>
  </si>
  <si>
    <t xml:space="preserve">P2 score</t>
  </si>
  <si>
    <t xml:space="preserve">P3 score</t>
  </si>
  <si>
    <t xml:space="preserve">P4 score</t>
  </si>
  <si>
    <t xml:space="preserve">P5 score</t>
  </si>
  <si>
    <t xml:space="preserve">P1 evidence basis</t>
  </si>
  <si>
    <t xml:space="preserve">P2 evidence basis</t>
  </si>
  <si>
    <t xml:space="preserve">P3 evidence basis</t>
  </si>
  <si>
    <t xml:space="preserve">P4 evidence basis</t>
  </si>
  <si>
    <t xml:space="preserve">P5 evidence basis</t>
  </si>
  <si>
    <t xml:space="preserve">P1 evidence note</t>
  </si>
  <si>
    <t xml:space="preserve">P2 evidence note</t>
  </si>
  <si>
    <t xml:space="preserve">P3 evidence note</t>
  </si>
  <si>
    <t xml:space="preserve">P4 evidence note</t>
  </si>
  <si>
    <t xml:space="preserve">P5 evidence note</t>
  </si>
  <si>
    <t xml:space="preserve">03 · Where the panel diverged</t>
  </si>
  <si>
    <t xml:space="preserve">Calculated from sheet 02. Scores of 0 mean no evidence and are left out of the spread and the mean. No totals appear before calibration.</t>
  </si>
  <si>
    <t xml:space="preserve">Scoring &gt; 0</t>
  </si>
  <si>
    <t xml:space="preserve">Min</t>
  </si>
  <si>
    <t xml:space="preserve">Max</t>
  </si>
  <si>
    <t xml:space="preserve">Spread</t>
  </si>
  <si>
    <t xml:space="preserve">Mean</t>
  </si>
  <si>
    <t xml:space="preserve">Provisional</t>
  </si>
  <si>
    <t xml:space="preserve">Flag</t>
  </si>
  <si>
    <t xml:space="preserve">Divergences (spread 2)</t>
  </si>
  <si>
    <t xml:space="preserve">Contradictions (spread 3 or 4)</t>
  </si>
  <si>
    <t xml:space="preserve">No evidence</t>
  </si>
  <si>
    <t xml:space="preserve">Reviewer agreement (spread 0 or 1)</t>
  </si>
  <si>
    <t xml:space="preserve">04 · Calibration</t>
  </si>
  <si>
    <t xml:space="preserve">Resolve every flagged cell in the session: an agreed score and a written reason naming the evidence that settled it. Unresolved cells keep the panel mean.</t>
  </si>
  <si>
    <t xml:space="preserve">Calibrated score</t>
  </si>
  <si>
    <t xml:space="preserve">Reason recorded</t>
  </si>
  <si>
    <t xml:space="preserve">Final</t>
  </si>
  <si>
    <t xml:space="preserve">Status</t>
  </si>
  <si>
    <t xml:space="preserve">Flagged cells</t>
  </si>
  <si>
    <t xml:space="preserve">Calibrated</t>
  </si>
  <si>
    <t xml:space="preserve">Unresolved</t>
  </si>
  <si>
    <t xml:space="preserve">Reason missing</t>
  </si>
  <si>
    <t xml:space="preserve">Calibrated score entered on an unflagged cell</t>
  </si>
  <si>
    <t xml:space="preserve">05 · Scores after calibration and the weighted result</t>
  </si>
  <si>
    <t xml:space="preserve">Entry order only. Never sort, colour or label finalists. The weighted result (0 to 100) is advisory: an input to the recommendation, not the recommendation.</t>
  </si>
  <si>
    <t xml:space="preserve">Weighted result (advisory)</t>
  </si>
  <si>
    <t xml:space="preserve">Criteria with no evidence</t>
  </si>
  <si>
    <t xml:space="preserve">Unresolved cells</t>
  </si>
  <si>
    <t xml:space="preserve">Note</t>
  </si>
  <si>
    <t xml:space="preserve">Internal checks for the Verdict. Not for the client, and never shown as an order of finalists.</t>
  </si>
  <si>
    <t xml:space="preserve">Highest weighted result</t>
  </si>
  <si>
    <t xml:space="preserve">Its criteria scored 1 or 2</t>
  </si>
  <si>
    <t xml:space="preserve">A risk for section 07 of the Verdict. If the recommendation names a different finalist, section 08 needs a written job-related reason.</t>
  </si>
  <si>
    <t xml:space="preserve">06 · Outcome register</t>
  </si>
  <si>
    <t xml:space="preserve">Recorded against the role, by initials only. It is the only way Calibre can one day make a claim about itself.</t>
  </si>
  <si>
    <t xml:space="preserve">Candidate hired</t>
  </si>
  <si>
    <t xml:space="preserve">Start date</t>
  </si>
  <si>
    <t xml:space="preserve">Checkpoint</t>
  </si>
  <si>
    <t xml:space="preserve">Due</t>
  </si>
  <si>
    <t xml:space="preserve">Still in the seat?</t>
  </si>
  <si>
    <t xml:space="preserve">If not, why</t>
  </si>
  <si>
    <t xml:space="preserve">Manager satisfaction (1 to 5)</t>
  </si>
  <si>
    <t xml:space="preserve">Early performance concerns?</t>
  </si>
  <si>
    <t xml:space="preserve">One line</t>
  </si>
  <si>
    <t xml:space="preserve">Did the Verdict flag what later mattered?</t>
  </si>
  <si>
    <t xml:space="preserve">Change to the rubric or method</t>
  </si>
  <si>
    <t xml:space="preserve">90 days</t>
  </si>
  <si>
    <t xml:space="preserve">180 days</t>
  </si>
  <si>
    <t xml:space="preserve">365 days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</si>
</sst>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 mmm\ yyyy"/>
    <numFmt numFmtId="166" formatCode="General"/>
    <numFmt numFmtId="167" formatCode="0.00"/>
    <numFmt numFmtId="168" formatCode="0%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265147"/>
      <name val="Plus Jakarta Sans"/>
      <family val="0"/>
      <charset val="1"/>
    </font>
    <font>
      <sz val="18"/>
      <color rgb="FF0E211B"/>
      <name val="Lora"/>
      <family val="0"/>
      <charset val="1"/>
    </font>
    <font>
      <i val="true"/>
      <sz val="9"/>
      <color rgb="FF596B66"/>
      <name val="Plus Jakarta Sans"/>
      <family val="0"/>
      <charset val="1"/>
    </font>
    <font>
      <b val="true"/>
      <sz val="9"/>
      <color rgb="FFFFFFFF"/>
      <name val="Plus Jakarta Sans"/>
      <family val="0"/>
      <charset val="1"/>
    </font>
    <font>
      <b val="true"/>
      <sz val="10"/>
      <color rgb="FF1C3D35"/>
      <name val="Plus Jakarta Sans"/>
      <family val="0"/>
      <charset val="1"/>
    </font>
    <font>
      <sz val="10"/>
      <color rgb="FF394740"/>
      <name val="Plus Jakarta San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211B"/>
        <bgColor rgb="FF1C3D35"/>
      </patternFill>
    </fill>
    <fill>
      <patternFill patternType="solid">
        <fgColor rgb="FFF0F5F3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65147"/>
      </bottom>
      <diagonal/>
    </border>
    <border diagonalUp="false" diagonalDown="false">
      <left/>
      <right/>
      <top/>
      <bottom style="thin">
        <color rgb="FFD5E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5F3"/>
      <rgbColor rgb="FFCCFFFF"/>
      <rgbColor rgb="FF660066"/>
      <rgbColor rgb="FFFF8080"/>
      <rgbColor rgb="FF0066CC"/>
      <rgbColor rgb="FFD5E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B66"/>
      <rgbColor rgb="FF969696"/>
      <rgbColor rgb="FF265147"/>
      <rgbColor rgb="FF339966"/>
      <rgbColor rgb="FF0E211B"/>
      <rgbColor rgb="FF394740"/>
      <rgbColor rgb="FF993300"/>
      <rgbColor rgb="FF993366"/>
      <rgbColor rgb="FF333399"/>
      <rgbColor rgb="FF1C3D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5147"/>
    <pageSetUpPr fitToPage="true"/>
  </sheetPr>
  <dimension ref="A1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true" outlineLevel="0" collapsed="false"/>
    <row r="5" customFormat="false" ht="15" hidden="false" customHeight="true" outlineLevel="0" collapsed="false">
      <c r="A5" s="4" t="s">
        <v>3</v>
      </c>
      <c r="B5" s="5" t="s">
        <v>4</v>
      </c>
      <c r="C5" s="5" t="s">
        <v>5</v>
      </c>
    </row>
    <row r="6" customFormat="false" ht="27" hidden="false" customHeight="true" outlineLevel="0" collapsed="false">
      <c r="A6" s="6" t="s">
        <v>6</v>
      </c>
      <c r="B6" s="7" t="s">
        <v>7</v>
      </c>
      <c r="C6" s="7" t="s">
        <v>8</v>
      </c>
    </row>
    <row r="7" customFormat="false" ht="27" hidden="false" customHeight="true" outlineLevel="0" collapsed="false">
      <c r="A7" s="6" t="s">
        <v>9</v>
      </c>
      <c r="B7" s="7" t="s">
        <v>10</v>
      </c>
      <c r="C7" s="7" t="s">
        <v>11</v>
      </c>
    </row>
    <row r="8" customFormat="false" ht="27" hidden="false" customHeight="true" outlineLevel="0" collapsed="false">
      <c r="A8" s="6" t="s">
        <v>12</v>
      </c>
      <c r="B8" s="7" t="s">
        <v>13</v>
      </c>
      <c r="C8" s="7" t="s">
        <v>14</v>
      </c>
    </row>
    <row r="9" customFormat="false" ht="27" hidden="false" customHeight="true" outlineLevel="0" collapsed="false">
      <c r="A9" s="6" t="s">
        <v>15</v>
      </c>
      <c r="B9" s="7" t="s">
        <v>16</v>
      </c>
      <c r="C9" s="7" t="s">
        <v>17</v>
      </c>
    </row>
    <row r="10" customFormat="false" ht="27" hidden="false" customHeight="true" outlineLevel="0" collapsed="false">
      <c r="A10" s="6" t="s">
        <v>18</v>
      </c>
      <c r="B10" s="7" t="s">
        <v>19</v>
      </c>
      <c r="C10" s="7" t="s">
        <v>20</v>
      </c>
    </row>
    <row r="11" customFormat="false" ht="27" hidden="false" customHeight="true" outlineLevel="0" collapsed="false">
      <c r="A11" s="6" t="s">
        <v>21</v>
      </c>
      <c r="B11" s="7" t="s">
        <v>22</v>
      </c>
      <c r="C11" s="7" t="s">
        <v>23</v>
      </c>
    </row>
    <row r="12" customFormat="false" ht="15" hidden="false" customHeight="true" outlineLevel="0" collapsed="false">
      <c r="A12" s="6" t="s">
        <v>24</v>
      </c>
      <c r="B12" s="7" t="s">
        <v>25</v>
      </c>
      <c r="C12" s="7" t="s">
        <v>26</v>
      </c>
    </row>
    <row r="13" customFormat="false" ht="15" hidden="false" customHeight="true" outlineLevel="0" collapsed="false"/>
    <row r="14" customFormat="false" ht="15" hidden="false" customHeight="true" outlineLevel="0" collapsed="false">
      <c r="A14" s="8" t="s">
        <v>27</v>
      </c>
    </row>
    <row r="15" customFormat="false" ht="40.5" hidden="false" customHeight="true" outlineLevel="0" collapsed="false">
      <c r="A15" s="9"/>
      <c r="B15" s="7" t="s">
        <v>28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4" t="s">
        <v>29</v>
      </c>
      <c r="B17" s="5" t="s">
        <v>30</v>
      </c>
      <c r="C17" s="5" t="s">
        <v>31</v>
      </c>
    </row>
    <row r="18" customFormat="false" ht="27" hidden="false" customHeight="true" outlineLevel="0" collapsed="false">
      <c r="A18" s="10" t="n">
        <v>5</v>
      </c>
      <c r="B18" s="7" t="s">
        <v>32</v>
      </c>
      <c r="C18" s="7" t="s">
        <v>33</v>
      </c>
    </row>
    <row r="19" customFormat="false" ht="15" hidden="false" customHeight="true" outlineLevel="0" collapsed="false">
      <c r="A19" s="10" t="n">
        <v>4</v>
      </c>
      <c r="B19" s="7" t="s">
        <v>34</v>
      </c>
      <c r="C19" s="7" t="s">
        <v>35</v>
      </c>
    </row>
    <row r="20" customFormat="false" ht="15" hidden="false" customHeight="true" outlineLevel="0" collapsed="false">
      <c r="A20" s="10" t="n">
        <v>3</v>
      </c>
      <c r="B20" s="7" t="s">
        <v>36</v>
      </c>
      <c r="C20" s="7" t="s">
        <v>37</v>
      </c>
    </row>
    <row r="21" customFormat="false" ht="15" hidden="false" customHeight="true" outlineLevel="0" collapsed="false">
      <c r="A21" s="10" t="n">
        <v>2</v>
      </c>
      <c r="B21" s="7" t="s">
        <v>38</v>
      </c>
      <c r="C21" s="7" t="s">
        <v>39</v>
      </c>
    </row>
    <row r="22" customFormat="false" ht="15" hidden="false" customHeight="true" outlineLevel="0" collapsed="false">
      <c r="A22" s="10" t="n">
        <v>1</v>
      </c>
      <c r="B22" s="7" t="s">
        <v>40</v>
      </c>
      <c r="C22" s="7" t="s">
        <v>41</v>
      </c>
    </row>
    <row r="23" customFormat="false" ht="27" hidden="false" customHeight="true" outlineLevel="0" collapsed="false">
      <c r="A23" s="10" t="n">
        <v>0</v>
      </c>
      <c r="B23" s="7" t="s">
        <v>42</v>
      </c>
      <c r="C23" s="7" t="s">
        <v>43</v>
      </c>
    </row>
    <row r="24" customFormat="false" ht="15" hidden="false" customHeight="true" outlineLevel="0" collapsed="false"/>
    <row r="25" customFormat="false" ht="15" hidden="false" customHeight="true" outlineLevel="0" collapsed="false">
      <c r="A25" s="4" t="s">
        <v>44</v>
      </c>
      <c r="B25" s="5" t="s">
        <v>45</v>
      </c>
      <c r="C25" s="5"/>
    </row>
    <row r="26" customFormat="false" ht="15" hidden="false" customHeight="true" outlineLevel="0" collapsed="false">
      <c r="A26" s="6" t="s">
        <v>46</v>
      </c>
      <c r="B26" s="7" t="s">
        <v>47</v>
      </c>
      <c r="C26" s="7"/>
    </row>
    <row r="27" customFormat="false" ht="15" hidden="false" customHeight="true" outlineLevel="0" collapsed="false">
      <c r="A27" s="6" t="s">
        <v>48</v>
      </c>
      <c r="B27" s="7" t="s">
        <v>49</v>
      </c>
      <c r="C27" s="7"/>
    </row>
    <row r="28" customFormat="false" ht="15" hidden="false" customHeight="true" outlineLevel="0" collapsed="false">
      <c r="A28" s="6" t="s">
        <v>50</v>
      </c>
      <c r="B28" s="7" t="s">
        <v>51</v>
      </c>
      <c r="C28" s="7"/>
    </row>
    <row r="29" customFormat="false" ht="15" hidden="false" customHeight="true" outlineLevel="0" collapsed="false">
      <c r="A29" s="6" t="s">
        <v>52</v>
      </c>
      <c r="B29" s="7" t="s">
        <v>53</v>
      </c>
      <c r="C29" s="7"/>
    </row>
    <row r="30" customFormat="false" ht="15" hidden="false" customHeight="true" outlineLevel="0" collapsed="false"/>
    <row r="31" customFormat="false" ht="15" hidden="false" customHeight="true" outlineLevel="0" collapsed="false">
      <c r="A31" s="8" t="s">
        <v>54</v>
      </c>
    </row>
    <row r="32" customFormat="false" ht="27" hidden="false" customHeight="true" outlineLevel="0" collapsed="false">
      <c r="A32" s="7" t="s">
        <v>55</v>
      </c>
      <c r="B32" s="7" t="s">
        <v>56</v>
      </c>
      <c r="C32" s="7"/>
    </row>
    <row r="33" customFormat="false" ht="15" hidden="false" customHeight="true" outlineLevel="0" collapsed="false"/>
    <row r="34" customFormat="false" ht="15" hidden="false" customHeight="true" outlineLevel="0" collapsed="false">
      <c r="A34" s="8" t="s">
        <v>57</v>
      </c>
    </row>
    <row r="35" customFormat="false" ht="15" hidden="false" customHeight="true" outlineLevel="0" collapsed="false">
      <c r="B35" s="11" t="s">
        <v>58</v>
      </c>
      <c r="C35" s="11"/>
    </row>
    <row r="36" customFormat="false" ht="15" hidden="false" customHeight="true" outlineLevel="0" collapsed="false">
      <c r="B36" s="11" t="s">
        <v>59</v>
      </c>
      <c r="C36" s="11"/>
    </row>
    <row r="37" customFormat="false" ht="15" hidden="false" customHeight="true" outlineLevel="0" collapsed="false">
      <c r="B37" s="11" t="s">
        <v>60</v>
      </c>
      <c r="C37" s="11"/>
    </row>
    <row r="38" customFormat="false" ht="15" hidden="false" customHeight="true" outlineLevel="0" collapsed="false">
      <c r="B38" s="11" t="s">
        <v>61</v>
      </c>
      <c r="C38" s="11"/>
    </row>
    <row r="39" customFormat="false" ht="15" hidden="false" customHeight="true" outlineLevel="0" collapsed="false"/>
    <row r="40" customFormat="false" ht="15" hidden="false" customHeight="true" outlineLevel="0" collapsed="false">
      <c r="A40" s="8" t="s">
        <v>62</v>
      </c>
      <c r="B40" s="12" t="s">
        <v>63</v>
      </c>
      <c r="C40" s="12"/>
    </row>
    <row r="41" customFormat="false" ht="15" hidden="false" customHeight="true" outlineLevel="0" collapsed="false"/>
    <row r="42" customFormat="false" ht="27" hidden="false" customHeight="true" outlineLevel="0" collapsed="false">
      <c r="A42" s="8" t="s">
        <v>64</v>
      </c>
      <c r="B42" s="13" t="s">
        <v>65</v>
      </c>
      <c r="C42" s="13"/>
    </row>
  </sheetData>
  <mergeCells count="11">
    <mergeCell ref="B26:C26"/>
    <mergeCell ref="B27:C27"/>
    <mergeCell ref="B28:C28"/>
    <mergeCell ref="B29:C29"/>
    <mergeCell ref="B32:C32"/>
    <mergeCell ref="B35:C35"/>
    <mergeCell ref="B36:C36"/>
    <mergeCell ref="B37:C37"/>
    <mergeCell ref="B38:C38"/>
    <mergeCell ref="B40:C40"/>
    <mergeCell ref="B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5147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66</v>
      </c>
    </row>
    <row r="3" customFormat="false" ht="15" hidden="false" customHeight="false" outlineLevel="0" collapsed="false">
      <c r="A3" s="3" t="s">
        <v>67</v>
      </c>
    </row>
    <row r="4" customFormat="false" ht="15" hidden="false" customHeight="true" outlineLevel="0" collapsed="false"/>
    <row r="5" customFormat="false" ht="27" hidden="false" customHeight="true" outlineLevel="0" collapsed="false">
      <c r="A5" s="8" t="s">
        <v>68</v>
      </c>
    </row>
    <row r="6" customFormat="false" ht="15" hidden="false" customHeight="true" outlineLevel="0" collapsed="false">
      <c r="B6" s="6" t="s">
        <v>69</v>
      </c>
      <c r="C6" s="9"/>
    </row>
    <row r="7" customFormat="false" ht="15" hidden="false" customHeight="true" outlineLevel="0" collapsed="false">
      <c r="A7" s="4" t="s">
        <v>70</v>
      </c>
      <c r="B7" s="5" t="s">
        <v>71</v>
      </c>
      <c r="C7" s="5" t="s">
        <v>72</v>
      </c>
      <c r="D7" s="5" t="s">
        <v>73</v>
      </c>
      <c r="E7" s="5" t="s">
        <v>74</v>
      </c>
    </row>
    <row r="8" customFormat="false" ht="15" hidden="false" customHeight="true" outlineLevel="0" collapsed="false">
      <c r="A8" s="6" t="s">
        <v>75</v>
      </c>
      <c r="B8" s="9"/>
      <c r="C8" s="9"/>
      <c r="D8" s="9"/>
      <c r="E8" s="9"/>
    </row>
    <row r="9" customFormat="false" ht="15" hidden="false" customHeight="true" outlineLevel="0" collapsed="false">
      <c r="A9" s="6" t="s">
        <v>76</v>
      </c>
      <c r="B9" s="9"/>
      <c r="C9" s="9"/>
      <c r="D9" s="9"/>
      <c r="E9" s="9"/>
    </row>
    <row r="10" customFormat="false" ht="15" hidden="false" customHeight="true" outlineLevel="0" collapsed="false">
      <c r="A10" s="6" t="s">
        <v>77</v>
      </c>
      <c r="B10" s="9"/>
      <c r="C10" s="9"/>
      <c r="D10" s="9"/>
      <c r="E10" s="9"/>
    </row>
    <row r="11" customFormat="false" ht="15" hidden="false" customHeight="true" outlineLevel="0" collapsed="false">
      <c r="A11" s="6" t="s">
        <v>78</v>
      </c>
      <c r="B11" s="9"/>
      <c r="C11" s="9"/>
      <c r="D11" s="9"/>
      <c r="E11" s="9"/>
    </row>
    <row r="12" customFormat="false" ht="15" hidden="false" customHeight="true" outlineLevel="0" collapsed="false">
      <c r="A12" s="6" t="s">
        <v>79</v>
      </c>
      <c r="B12" s="9"/>
      <c r="C12" s="9"/>
      <c r="D12" s="9"/>
      <c r="E12" s="9"/>
    </row>
    <row r="13" customFormat="false" ht="15" hidden="false" customHeight="true" outlineLevel="0" collapsed="false">
      <c r="B13" s="6" t="s">
        <v>80</v>
      </c>
      <c r="C13" s="7" t="n">
        <f aca="false">COUNTA(B8:B12)</f>
        <v>0</v>
      </c>
      <c r="D13" s="6" t="str">
        <f aca="false">IF(AND(C13&gt;=2,C13&lt;=5,COUNTIF(D8:D12,"Yes")=1),"OK","Needs 2 to 5 panelists and exactly one hiring lead")</f>
        <v>Needs 2 to 5 panelists and exactly one hiring lead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4" t="s">
        <v>70</v>
      </c>
      <c r="B15" s="5" t="s">
        <v>81</v>
      </c>
      <c r="C15" s="5" t="s">
        <v>82</v>
      </c>
      <c r="D15" s="5" t="s">
        <v>83</v>
      </c>
      <c r="E15" s="5" t="s">
        <v>84</v>
      </c>
    </row>
    <row r="16" customFormat="false" ht="15" hidden="false" customHeight="true" outlineLevel="0" collapsed="false">
      <c r="A16" s="6" t="s">
        <v>85</v>
      </c>
      <c r="B16" s="9"/>
      <c r="C16" s="9"/>
      <c r="D16" s="14"/>
      <c r="E16" s="9"/>
    </row>
    <row r="17" customFormat="false" ht="15" hidden="false" customHeight="true" outlineLevel="0" collapsed="false">
      <c r="A17" s="6" t="s">
        <v>86</v>
      </c>
      <c r="B17" s="9"/>
      <c r="C17" s="9"/>
      <c r="D17" s="14"/>
      <c r="E17" s="9"/>
    </row>
    <row r="18" customFormat="false" ht="15" hidden="false" customHeight="true" outlineLevel="0" collapsed="false">
      <c r="A18" s="6" t="s">
        <v>87</v>
      </c>
      <c r="B18" s="9"/>
      <c r="C18" s="9"/>
      <c r="D18" s="14"/>
      <c r="E18" s="9"/>
    </row>
    <row r="19" customFormat="false" ht="15" hidden="false" customHeight="true" outlineLevel="0" collapsed="false">
      <c r="A19" s="6" t="s">
        <v>88</v>
      </c>
      <c r="B19" s="9"/>
      <c r="C19" s="9"/>
      <c r="D19" s="14"/>
      <c r="E19" s="9"/>
    </row>
    <row r="20" customFormat="false" ht="15" hidden="false" customHeight="true" outlineLevel="0" collapsed="false">
      <c r="A20" s="6" t="s">
        <v>89</v>
      </c>
      <c r="B20" s="9"/>
      <c r="C20" s="9"/>
      <c r="D20" s="14"/>
      <c r="E20" s="9"/>
    </row>
    <row r="21" customFormat="false" ht="15" hidden="false" customHeight="true" outlineLevel="0" collapsed="false">
      <c r="A21" s="6" t="s">
        <v>90</v>
      </c>
      <c r="B21" s="9"/>
      <c r="C21" s="9"/>
      <c r="D21" s="14"/>
      <c r="E21" s="9"/>
    </row>
    <row r="22" customFormat="false" ht="15" hidden="false" customHeight="true" outlineLevel="0" collapsed="false">
      <c r="B22" s="6" t="s">
        <v>91</v>
      </c>
      <c r="C22" s="7" t="n">
        <f aca="false">COUNTA(B16:B21)</f>
        <v>0</v>
      </c>
      <c r="D22" s="6" t="str">
        <f aca="false">IF(AND(C22&gt;=2,C22&lt;=6),"OK","Needs 2 to 6 finalists")</f>
        <v>Needs 2 to 6 finalists</v>
      </c>
    </row>
    <row r="23" customFormat="false" ht="15" hidden="false" customHeight="true" outlineLevel="0" collapsed="false"/>
    <row r="24" customFormat="false" ht="15" hidden="false" customHeight="true" outlineLevel="0" collapsed="false">
      <c r="A24" s="4"/>
      <c r="B24" s="5" t="s">
        <v>92</v>
      </c>
      <c r="C24" s="5"/>
      <c r="D24" s="5"/>
      <c r="E24" s="5"/>
    </row>
    <row r="25" customFormat="false" ht="15" hidden="false" customHeight="true" outlineLevel="0" collapsed="false">
      <c r="B25" s="6" t="s">
        <v>93</v>
      </c>
      <c r="C25" s="14"/>
    </row>
    <row r="26" customFormat="false" ht="15" hidden="false" customHeight="true" outlineLevel="0" collapsed="false">
      <c r="B26" s="6" t="s">
        <v>94</v>
      </c>
      <c r="C26" s="14"/>
    </row>
    <row r="27" customFormat="false" ht="15" hidden="false" customHeight="true" outlineLevel="0" collapsed="false">
      <c r="B27" s="6" t="s">
        <v>95</v>
      </c>
      <c r="C27" s="14"/>
    </row>
    <row r="28" customFormat="false" ht="15" hidden="false" customHeight="true" outlineLevel="0" collapsed="false">
      <c r="B28" s="6" t="s">
        <v>96</v>
      </c>
      <c r="C28" s="14"/>
    </row>
    <row r="29" customFormat="false" ht="15" hidden="false" customHeight="true" outlineLevel="0" collapsed="false">
      <c r="B29" s="6" t="s">
        <v>97</v>
      </c>
      <c r="C29" s="15" t="str">
        <f aca="false">IF(C28="","",C28+90)</f>
        <v/>
      </c>
    </row>
  </sheetData>
  <dataValidations count="1">
    <dataValidation allowBlank="true" errorStyle="stop" operator="between" showDropDown="false" showErrorMessage="true" showInputMessage="false" sqref="D8:D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5147"/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7" min="5" style="0" width="4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98</v>
      </c>
    </row>
    <row r="3" customFormat="false" ht="15" hidden="false" customHeight="false" outlineLevel="0" collapsed="false">
      <c r="A3" s="3" t="s">
        <v>99</v>
      </c>
    </row>
    <row r="4" customFormat="false" ht="15" hidden="false" customHeight="true" outlineLevel="0" collapsed="false"/>
    <row r="5" customFormat="false" ht="27" hidden="false" customHeight="true" outlineLevel="0" collapsed="false">
      <c r="A5" s="6" t="s">
        <v>100</v>
      </c>
      <c r="B5" s="15" t="str">
        <f aca="false">IF('00 Setup'!C25="","",'00 Setup'!C25)</f>
        <v/>
      </c>
    </row>
    <row r="6" customFormat="false" ht="15" hidden="false" customHeight="true" outlineLevel="0" collapsed="false"/>
    <row r="7" customFormat="false" ht="15" hidden="false" customHeight="true" outlineLevel="0" collapsed="false">
      <c r="A7" s="4" t="s">
        <v>70</v>
      </c>
      <c r="B7" s="5" t="s">
        <v>101</v>
      </c>
      <c r="C7" s="5" t="s">
        <v>102</v>
      </c>
      <c r="D7" s="5" t="s">
        <v>103</v>
      </c>
      <c r="E7" s="5" t="s">
        <v>104</v>
      </c>
      <c r="F7" s="5" t="s">
        <v>105</v>
      </c>
      <c r="G7" s="5" t="s">
        <v>106</v>
      </c>
    </row>
    <row r="8" customFormat="false" ht="54" hidden="false" customHeight="true" outlineLevel="0" collapsed="false">
      <c r="A8" s="6" t="s">
        <v>107</v>
      </c>
      <c r="B8" s="9" t="s">
        <v>108</v>
      </c>
      <c r="C8" s="9" t="s">
        <v>109</v>
      </c>
      <c r="D8" s="16" t="n">
        <v>15</v>
      </c>
      <c r="E8" s="9" t="s">
        <v>110</v>
      </c>
      <c r="F8" s="9" t="s">
        <v>111</v>
      </c>
      <c r="G8" s="9" t="s">
        <v>112</v>
      </c>
    </row>
    <row r="9" customFormat="false" ht="54" hidden="false" customHeight="true" outlineLevel="0" collapsed="false">
      <c r="A9" s="6" t="s">
        <v>113</v>
      </c>
      <c r="B9" s="9" t="s">
        <v>114</v>
      </c>
      <c r="C9" s="9" t="s">
        <v>109</v>
      </c>
      <c r="D9" s="16" t="n">
        <v>15</v>
      </c>
      <c r="E9" s="9" t="s">
        <v>115</v>
      </c>
      <c r="F9" s="9" t="s">
        <v>116</v>
      </c>
      <c r="G9" s="9" t="s">
        <v>117</v>
      </c>
    </row>
    <row r="10" customFormat="false" ht="40.5" hidden="false" customHeight="true" outlineLevel="0" collapsed="false">
      <c r="A10" s="6" t="s">
        <v>118</v>
      </c>
      <c r="B10" s="9" t="s">
        <v>119</v>
      </c>
      <c r="C10" s="9" t="s">
        <v>109</v>
      </c>
      <c r="D10" s="16" t="n">
        <v>12</v>
      </c>
      <c r="E10" s="9" t="s">
        <v>120</v>
      </c>
      <c r="F10" s="9" t="s">
        <v>121</v>
      </c>
      <c r="G10" s="9" t="s">
        <v>122</v>
      </c>
    </row>
    <row r="11" customFormat="false" ht="54" hidden="false" customHeight="true" outlineLevel="0" collapsed="false">
      <c r="A11" s="6" t="s">
        <v>123</v>
      </c>
      <c r="B11" s="9" t="s">
        <v>124</v>
      </c>
      <c r="C11" s="9" t="s">
        <v>109</v>
      </c>
      <c r="D11" s="16" t="n">
        <v>12</v>
      </c>
      <c r="E11" s="9" t="s">
        <v>125</v>
      </c>
      <c r="F11" s="9" t="s">
        <v>126</v>
      </c>
      <c r="G11" s="9" t="s">
        <v>127</v>
      </c>
    </row>
    <row r="12" customFormat="false" ht="40.5" hidden="false" customHeight="true" outlineLevel="0" collapsed="false">
      <c r="A12" s="6" t="s">
        <v>128</v>
      </c>
      <c r="B12" s="9" t="s">
        <v>129</v>
      </c>
      <c r="C12" s="9" t="s">
        <v>130</v>
      </c>
      <c r="D12" s="16" t="n">
        <v>8</v>
      </c>
      <c r="E12" s="9" t="s">
        <v>131</v>
      </c>
      <c r="F12" s="9" t="s">
        <v>132</v>
      </c>
      <c r="G12" s="9" t="s">
        <v>133</v>
      </c>
    </row>
    <row r="13" customFormat="false" ht="40.5" hidden="false" customHeight="true" outlineLevel="0" collapsed="false">
      <c r="A13" s="6" t="s">
        <v>134</v>
      </c>
      <c r="B13" s="9" t="s">
        <v>135</v>
      </c>
      <c r="C13" s="9" t="s">
        <v>109</v>
      </c>
      <c r="D13" s="16" t="n">
        <v>10</v>
      </c>
      <c r="E13" s="9" t="s">
        <v>136</v>
      </c>
      <c r="F13" s="9" t="s">
        <v>137</v>
      </c>
      <c r="G13" s="9" t="s">
        <v>138</v>
      </c>
    </row>
    <row r="14" customFormat="false" ht="40.5" hidden="false" customHeight="true" outlineLevel="0" collapsed="false">
      <c r="A14" s="6" t="s">
        <v>139</v>
      </c>
      <c r="B14" s="9" t="s">
        <v>140</v>
      </c>
      <c r="C14" s="9" t="s">
        <v>130</v>
      </c>
      <c r="D14" s="16" t="n">
        <v>10</v>
      </c>
      <c r="E14" s="9" t="s">
        <v>141</v>
      </c>
      <c r="F14" s="9" t="s">
        <v>142</v>
      </c>
      <c r="G14" s="9" t="s">
        <v>143</v>
      </c>
    </row>
    <row r="15" customFormat="false" ht="40.5" hidden="false" customHeight="true" outlineLevel="0" collapsed="false">
      <c r="A15" s="6" t="s">
        <v>144</v>
      </c>
      <c r="B15" s="9" t="s">
        <v>145</v>
      </c>
      <c r="C15" s="9" t="s">
        <v>109</v>
      </c>
      <c r="D15" s="16" t="n">
        <v>10</v>
      </c>
      <c r="E15" s="9" t="s">
        <v>146</v>
      </c>
      <c r="F15" s="9" t="s">
        <v>147</v>
      </c>
      <c r="G15" s="9" t="s">
        <v>148</v>
      </c>
    </row>
    <row r="16" customFormat="false" ht="40.5" hidden="false" customHeight="true" outlineLevel="0" collapsed="false">
      <c r="A16" s="6" t="s">
        <v>149</v>
      </c>
      <c r="B16" s="9" t="s">
        <v>150</v>
      </c>
      <c r="C16" s="9" t="s">
        <v>130</v>
      </c>
      <c r="D16" s="16" t="n">
        <v>8</v>
      </c>
      <c r="E16" s="9" t="s">
        <v>151</v>
      </c>
      <c r="F16" s="9" t="s">
        <v>152</v>
      </c>
      <c r="G16" s="9" t="s">
        <v>153</v>
      </c>
    </row>
    <row r="17" customFormat="false" ht="15" hidden="false" customHeight="true" outlineLevel="0" collapsed="false">
      <c r="B17" s="6" t="s">
        <v>154</v>
      </c>
      <c r="D17" s="10" t="n">
        <f aca="false">SUM(D8:D16)</f>
        <v>100</v>
      </c>
    </row>
    <row r="18" customFormat="false" ht="15" hidden="false" customHeight="true" outlineLevel="0" collapsed="false">
      <c r="B18" s="6" t="s">
        <v>155</v>
      </c>
      <c r="D18" s="17" t="n">
        <f aca="false">COUNTA(B8:B16)</f>
        <v>9</v>
      </c>
    </row>
    <row r="19" customFormat="false" ht="15" hidden="false" customHeight="true" outlineLevel="0" collapsed="false">
      <c r="B19" s="6" t="s">
        <v>156</v>
      </c>
      <c r="C19" s="6" t="str">
        <f aca="false">IF(D18&lt;4,"Not lockable: fewer than 4 criteria",IF(D18&gt;9,"Not lockable: more than 9 criteria",IF(SUMPRODUCT((B8:B16&lt;&gt;"")*(D8:D16=""))&gt;0,"Not lockable: a named criterion has no weight",IF(SUMPRODUCT((B8:B16="")*(D8:D16&lt;&gt;""))&gt;0,"Not lockable: a weight has no criterion",IF(D17&lt;&gt;100,"Not lockable: weights total "&amp;D17&amp;", not 100","Ready to lock")))))</f>
        <v>Ready to lock</v>
      </c>
      <c r="D19" s="6"/>
      <c r="E19" s="6"/>
      <c r="F19" s="6"/>
      <c r="G19" s="6"/>
    </row>
    <row r="20" customFormat="false" ht="15" hidden="false" customHeight="true" outlineLevel="0" collapsed="false"/>
    <row r="21" customFormat="false" ht="15" hidden="false" customHeight="true" outlineLevel="0" collapsed="false">
      <c r="B21" s="18" t="s">
        <v>84</v>
      </c>
      <c r="C21" s="12" t="s">
        <v>157</v>
      </c>
      <c r="D21" s="12"/>
      <c r="E21" s="12"/>
      <c r="F21" s="12"/>
      <c r="G21" s="12"/>
    </row>
  </sheetData>
  <mergeCells count="2">
    <mergeCell ref="C19:G19"/>
    <mergeCell ref="C21:G21"/>
  </mergeCells>
  <dataValidations count="2">
    <dataValidation allowBlank="true" errorStyle="stop" operator="between" showDropDown="false" showErrorMessage="true" showInputMessage="false" sqref="C8:C16" type="list">
      <formula1>"Must,Preferred"</formula1>
      <formula2>0</formula2>
    </dataValidation>
    <dataValidation allowBlank="true" errorStyle="stop" operator="between" showDropDown="false" showErrorMessage="true" showInputMessage="false" sqref="D8:D16" type="whole">
      <formula1>1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5147"/>
    <pageSetUpPr fitToPage="true"/>
  </sheetPr>
  <dimension ref="A1:T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9" min="4" style="0" width="7"/>
    <col collapsed="false" customWidth="true" hidden="false" outlineLevel="0" max="14" min="10" style="0" width="14"/>
    <col collapsed="false" customWidth="true" hidden="false" outlineLevel="0" max="19" min="15" style="0" width="36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158</v>
      </c>
    </row>
    <row r="3" customFormat="false" ht="15" hidden="false" customHeight="false" outlineLevel="0" collapsed="false">
      <c r="A3" s="3" t="s">
        <v>159</v>
      </c>
    </row>
    <row r="4" customFormat="false" ht="15" hidden="false" customHeight="true" outlineLevel="0" collapsed="false"/>
    <row r="5" customFormat="false" ht="15" hidden="false" customHeight="true" outlineLevel="0" collapsed="false">
      <c r="A5" s="6" t="s">
        <v>160</v>
      </c>
      <c r="C5" s="7" t="str">
        <f aca="false">IF('00 Setup'!C13*'00 Setup'!C22=0,"Name the panel and finalists on 00 Setup",COUNT(F7:J60)&amp;" of "&amp;('00 Setup'!C13*'00 Setup'!C22*'01 Rubric'!D18))</f>
        <v>Name the panel and finalists on 00 Setup</v>
      </c>
      <c r="E5" s="8" t="str">
        <f aca="false">IF(COUNT(F7:J60)=0,"",IF(COUNT(F7:J60)&gt;='00 Setup'!C13*'00 Setup'!C22*'01 Rubric'!D18,"All in: ready to reveal","Waiting for scores"))</f>
        <v/>
      </c>
    </row>
    <row r="6" customFormat="false" ht="15" hidden="false" customHeight="true" outlineLevel="0" collapsed="false">
      <c r="A6" s="4" t="s">
        <v>161</v>
      </c>
      <c r="B6" s="5" t="s">
        <v>70</v>
      </c>
      <c r="C6" s="5" t="s">
        <v>101</v>
      </c>
      <c r="D6" s="5" t="s">
        <v>162</v>
      </c>
      <c r="E6" s="5" t="s">
        <v>163</v>
      </c>
      <c r="F6" s="5" t="s">
        <v>164</v>
      </c>
      <c r="G6" s="5" t="s">
        <v>165</v>
      </c>
      <c r="H6" s="5" t="s">
        <v>166</v>
      </c>
      <c r="I6" s="5" t="s">
        <v>167</v>
      </c>
      <c r="J6" s="5" t="s">
        <v>168</v>
      </c>
      <c r="K6" s="5" t="s">
        <v>169</v>
      </c>
      <c r="L6" s="5" t="s">
        <v>170</v>
      </c>
      <c r="M6" s="5" t="s">
        <v>171</v>
      </c>
      <c r="N6" s="5" t="s">
        <v>172</v>
      </c>
      <c r="O6" s="5" t="s">
        <v>173</v>
      </c>
      <c r="P6" s="5" t="s">
        <v>174</v>
      </c>
      <c r="Q6" s="5" t="s">
        <v>175</v>
      </c>
      <c r="R6" s="5" t="s">
        <v>176</v>
      </c>
      <c r="S6" s="5" t="s">
        <v>177</v>
      </c>
    </row>
    <row r="7" customFormat="false" ht="15" hidden="false" customHeight="true" outlineLevel="0" collapsed="false">
      <c r="A7" s="6" t="str">
        <f aca="false">"K1"&amp;IF('00 Setup'!B16="",""," · "&amp;'00 Setup'!B16)</f>
        <v>K1</v>
      </c>
      <c r="B7" s="7" t="s">
        <v>107</v>
      </c>
      <c r="C7" s="7" t="str">
        <f aca="false">IF('01 Rubric'!B8="","",'01 Rubric'!B8)</f>
        <v>Technical accounting and IFRS application</v>
      </c>
      <c r="D7" s="17" t="n">
        <f aca="false">IF('01 Rubric'!D8="","",'01 Rubric'!D8)</f>
        <v>15</v>
      </c>
      <c r="F7" s="16"/>
      <c r="G7" s="16"/>
      <c r="H7" s="16"/>
      <c r="I7" s="16"/>
      <c r="J7" s="16"/>
      <c r="K7" s="9"/>
      <c r="L7" s="9"/>
      <c r="M7" s="9"/>
      <c r="N7" s="9"/>
      <c r="O7" s="9"/>
      <c r="P7" s="9"/>
      <c r="Q7" s="9"/>
      <c r="R7" s="9"/>
      <c r="S7" s="9"/>
      <c r="T7" s="9"/>
    </row>
    <row r="8" customFormat="false" ht="15" hidden="false" customHeight="true" outlineLevel="0" collapsed="false">
      <c r="A8" s="6" t="str">
        <f aca="false">"K1"&amp;IF('00 Setup'!B16="",""," · "&amp;'00 Setup'!B16)</f>
        <v>K1</v>
      </c>
      <c r="B8" s="7" t="s">
        <v>113</v>
      </c>
      <c r="C8" s="7" t="str">
        <f aca="false">IF('01 Rubric'!B9="","",'01 Rubric'!B9)</f>
        <v>Financial reporting and close ownership</v>
      </c>
      <c r="D8" s="17" t="n">
        <f aca="false">IF('01 Rubric'!D9="","",'01 Rubric'!D9)</f>
        <v>15</v>
      </c>
      <c r="F8" s="16"/>
      <c r="G8" s="16"/>
      <c r="H8" s="16"/>
      <c r="I8" s="16"/>
      <c r="J8" s="16"/>
      <c r="K8" s="9"/>
      <c r="L8" s="9"/>
      <c r="M8" s="9"/>
      <c r="N8" s="9"/>
      <c r="O8" s="9"/>
      <c r="P8" s="9"/>
      <c r="Q8" s="9"/>
      <c r="R8" s="9"/>
      <c r="S8" s="9"/>
      <c r="T8" s="9"/>
    </row>
    <row r="9" customFormat="false" ht="15" hidden="false" customHeight="true" outlineLevel="0" collapsed="false">
      <c r="A9" s="6" t="str">
        <f aca="false">"K1"&amp;IF('00 Setup'!B16="",""," · "&amp;'00 Setup'!B16)</f>
        <v>K1</v>
      </c>
      <c r="B9" s="7" t="s">
        <v>118</v>
      </c>
      <c r="C9" s="7" t="str">
        <f aca="false">IF('01 Rubric'!B10="","",'01 Rubric'!B10)</f>
        <v>Controls, compliance and audit readiness</v>
      </c>
      <c r="D9" s="17" t="n">
        <f aca="false">IF('01 Rubric'!D10="","",'01 Rubric'!D10)</f>
        <v>12</v>
      </c>
      <c r="F9" s="16"/>
      <c r="G9" s="16"/>
      <c r="H9" s="16"/>
      <c r="I9" s="16"/>
      <c r="J9" s="16"/>
      <c r="K9" s="9"/>
      <c r="L9" s="9"/>
      <c r="M9" s="9"/>
      <c r="N9" s="9"/>
      <c r="O9" s="9"/>
      <c r="P9" s="9"/>
      <c r="Q9" s="9"/>
      <c r="R9" s="9"/>
      <c r="S9" s="9"/>
      <c r="T9" s="9"/>
    </row>
    <row r="10" customFormat="false" ht="15" hidden="false" customHeight="true" outlineLevel="0" collapsed="false">
      <c r="A10" s="6" t="str">
        <f aca="false">"K1"&amp;IF('00 Setup'!B16="",""," · "&amp;'00 Setup'!B16)</f>
        <v>K1</v>
      </c>
      <c r="B10" s="7" t="s">
        <v>123</v>
      </c>
      <c r="C10" s="7" t="str">
        <f aca="false">IF('01 Rubric'!B11="","",'01 Rubric'!B11)</f>
        <v>Planning, budgeting and forecasting</v>
      </c>
      <c r="D10" s="17" t="n">
        <f aca="false">IF('01 Rubric'!D11="","",'01 Rubric'!D11)</f>
        <v>12</v>
      </c>
      <c r="F10" s="16"/>
      <c r="G10" s="16"/>
      <c r="H10" s="16"/>
      <c r="I10" s="16"/>
      <c r="J10" s="16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customFormat="false" ht="15" hidden="false" customHeight="true" outlineLevel="0" collapsed="false">
      <c r="A11" s="6" t="str">
        <f aca="false">"K1"&amp;IF('00 Setup'!B16="",""," · "&amp;'00 Setup'!B16)</f>
        <v>K1</v>
      </c>
      <c r="B11" s="7" t="s">
        <v>128</v>
      </c>
      <c r="C11" s="7" t="str">
        <f aca="false">IF('01 Rubric'!B12="","",'01 Rubric'!B12)</f>
        <v>Cash, treasury and working capital</v>
      </c>
      <c r="D11" s="17" t="n">
        <f aca="false">IF('01 Rubric'!D12="","",'01 Rubric'!D12)</f>
        <v>8</v>
      </c>
      <c r="F11" s="16"/>
      <c r="G11" s="16"/>
      <c r="H11" s="16"/>
      <c r="I11" s="16"/>
      <c r="J11" s="16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customFormat="false" ht="15" hidden="false" customHeight="true" outlineLevel="0" collapsed="false">
      <c r="A12" s="6" t="str">
        <f aca="false">"K1"&amp;IF('00 Setup'!B16="",""," · "&amp;'00 Setup'!B16)</f>
        <v>K1</v>
      </c>
      <c r="B12" s="7" t="s">
        <v>134</v>
      </c>
      <c r="C12" s="7" t="str">
        <f aca="false">IF('01 Rubric'!B13="","",'01 Rubric'!B13)</f>
        <v>Systems, data and reporting tooling</v>
      </c>
      <c r="D12" s="17" t="n">
        <f aca="false">IF('01 Rubric'!D13="","",'01 Rubric'!D13)</f>
        <v>10</v>
      </c>
      <c r="F12" s="16"/>
      <c r="G12" s="16"/>
      <c r="H12" s="16"/>
      <c r="I12" s="16"/>
      <c r="J12" s="16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customFormat="false" ht="15" hidden="false" customHeight="true" outlineLevel="0" collapsed="false">
      <c r="A13" s="6" t="str">
        <f aca="false">"K1"&amp;IF('00 Setup'!B16="",""," · "&amp;'00 Setup'!B16)</f>
        <v>K1</v>
      </c>
      <c r="B13" s="7" t="s">
        <v>139</v>
      </c>
      <c r="C13" s="7" t="str">
        <f aca="false">IF('01 Rubric'!B14="","",'01 Rubric'!B14)</f>
        <v>Team leadership and delegation</v>
      </c>
      <c r="D13" s="17" t="n">
        <f aca="false">IF('01 Rubric'!D14="","",'01 Rubric'!D14)</f>
        <v>10</v>
      </c>
      <c r="F13" s="16"/>
      <c r="G13" s="16"/>
      <c r="H13" s="16"/>
      <c r="I13" s="16"/>
      <c r="J13" s="16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customFormat="false" ht="15" hidden="false" customHeight="true" outlineLevel="0" collapsed="false">
      <c r="A14" s="6" t="str">
        <f aca="false">"K1"&amp;IF('00 Setup'!B16="",""," · "&amp;'00 Setup'!B16)</f>
        <v>K1</v>
      </c>
      <c r="B14" s="7" t="s">
        <v>144</v>
      </c>
      <c r="C14" s="7" t="str">
        <f aca="false">IF('01 Rubric'!B15="","",'01 Rubric'!B15)</f>
        <v>Stakeholder communication and reporting</v>
      </c>
      <c r="D14" s="17" t="n">
        <f aca="false">IF('01 Rubric'!D15="","",'01 Rubric'!D15)</f>
        <v>10</v>
      </c>
      <c r="F14" s="16"/>
      <c r="G14" s="16"/>
      <c r="H14" s="16"/>
      <c r="I14" s="16"/>
      <c r="J14" s="16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customFormat="false" ht="15" hidden="false" customHeight="true" outlineLevel="0" collapsed="false">
      <c r="A15" s="6" t="str">
        <f aca="false">"K1"&amp;IF('00 Setup'!B16="",""," · "&amp;'00 Setup'!B16)</f>
        <v>K1</v>
      </c>
      <c r="B15" s="7" t="s">
        <v>149</v>
      </c>
      <c r="C15" s="7" t="str">
        <f aca="false">IF('01 Rubric'!B16="","",'01 Rubric'!B16)</f>
        <v>Jurisdictional and regulatory exposure</v>
      </c>
      <c r="D15" s="17" t="n">
        <f aca="false">IF('01 Rubric'!D16="","",'01 Rubric'!D16)</f>
        <v>8</v>
      </c>
      <c r="F15" s="16"/>
      <c r="G15" s="16"/>
      <c r="H15" s="16"/>
      <c r="I15" s="16"/>
      <c r="J15" s="16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customFormat="false" ht="15" hidden="false" customHeight="true" outlineLevel="0" collapsed="false">
      <c r="A16" s="6" t="str">
        <f aca="false">"K2"&amp;IF('00 Setup'!B17="",""," · "&amp;'00 Setup'!B17)</f>
        <v>K2</v>
      </c>
      <c r="B16" s="7" t="s">
        <v>107</v>
      </c>
      <c r="C16" s="7" t="str">
        <f aca="false">IF('01 Rubric'!B8="","",'01 Rubric'!B8)</f>
        <v>Technical accounting and IFRS application</v>
      </c>
      <c r="D16" s="17" t="n">
        <f aca="false">IF('01 Rubric'!D8="","",'01 Rubric'!D8)</f>
        <v>15</v>
      </c>
      <c r="F16" s="16"/>
      <c r="G16" s="16"/>
      <c r="H16" s="16"/>
      <c r="I16" s="16"/>
      <c r="J16" s="16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customFormat="false" ht="15" hidden="false" customHeight="true" outlineLevel="0" collapsed="false">
      <c r="A17" s="6" t="str">
        <f aca="false">"K2"&amp;IF('00 Setup'!B17="",""," · "&amp;'00 Setup'!B17)</f>
        <v>K2</v>
      </c>
      <c r="B17" s="7" t="s">
        <v>113</v>
      </c>
      <c r="C17" s="7" t="str">
        <f aca="false">IF('01 Rubric'!B9="","",'01 Rubric'!B9)</f>
        <v>Financial reporting and close ownership</v>
      </c>
      <c r="D17" s="17" t="n">
        <f aca="false">IF('01 Rubric'!D9="","",'01 Rubric'!D9)</f>
        <v>15</v>
      </c>
      <c r="F17" s="16"/>
      <c r="G17" s="16"/>
      <c r="H17" s="16"/>
      <c r="I17" s="16"/>
      <c r="J17" s="16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customFormat="false" ht="15" hidden="false" customHeight="true" outlineLevel="0" collapsed="false">
      <c r="A18" s="6" t="str">
        <f aca="false">"K2"&amp;IF('00 Setup'!B17="",""," · "&amp;'00 Setup'!B17)</f>
        <v>K2</v>
      </c>
      <c r="B18" s="7" t="s">
        <v>118</v>
      </c>
      <c r="C18" s="7" t="str">
        <f aca="false">IF('01 Rubric'!B10="","",'01 Rubric'!B10)</f>
        <v>Controls, compliance and audit readiness</v>
      </c>
      <c r="D18" s="17" t="n">
        <f aca="false">IF('01 Rubric'!D10="","",'01 Rubric'!D10)</f>
        <v>12</v>
      </c>
      <c r="F18" s="16"/>
      <c r="G18" s="16"/>
      <c r="H18" s="16"/>
      <c r="I18" s="16"/>
      <c r="J18" s="16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customFormat="false" ht="15" hidden="false" customHeight="true" outlineLevel="0" collapsed="false">
      <c r="A19" s="6" t="str">
        <f aca="false">"K2"&amp;IF('00 Setup'!B17="",""," · "&amp;'00 Setup'!B17)</f>
        <v>K2</v>
      </c>
      <c r="B19" s="7" t="s">
        <v>123</v>
      </c>
      <c r="C19" s="7" t="str">
        <f aca="false">IF('01 Rubric'!B11="","",'01 Rubric'!B11)</f>
        <v>Planning, budgeting and forecasting</v>
      </c>
      <c r="D19" s="17" t="n">
        <f aca="false">IF('01 Rubric'!D11="","",'01 Rubric'!D11)</f>
        <v>12</v>
      </c>
      <c r="F19" s="16"/>
      <c r="G19" s="16"/>
      <c r="H19" s="16"/>
      <c r="I19" s="16"/>
      <c r="J19" s="16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customFormat="false" ht="15" hidden="false" customHeight="true" outlineLevel="0" collapsed="false">
      <c r="A20" s="6" t="str">
        <f aca="false">"K2"&amp;IF('00 Setup'!B17="",""," · "&amp;'00 Setup'!B17)</f>
        <v>K2</v>
      </c>
      <c r="B20" s="7" t="s">
        <v>128</v>
      </c>
      <c r="C20" s="7" t="str">
        <f aca="false">IF('01 Rubric'!B12="","",'01 Rubric'!B12)</f>
        <v>Cash, treasury and working capital</v>
      </c>
      <c r="D20" s="17" t="n">
        <f aca="false">IF('01 Rubric'!D12="","",'01 Rubric'!D12)</f>
        <v>8</v>
      </c>
      <c r="F20" s="16"/>
      <c r="G20" s="16"/>
      <c r="H20" s="16"/>
      <c r="I20" s="16"/>
      <c r="J20" s="16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customFormat="false" ht="15" hidden="false" customHeight="true" outlineLevel="0" collapsed="false">
      <c r="A21" s="6" t="str">
        <f aca="false">"K2"&amp;IF('00 Setup'!B17="",""," · "&amp;'00 Setup'!B17)</f>
        <v>K2</v>
      </c>
      <c r="B21" s="7" t="s">
        <v>134</v>
      </c>
      <c r="C21" s="7" t="str">
        <f aca="false">IF('01 Rubric'!B13="","",'01 Rubric'!B13)</f>
        <v>Systems, data and reporting tooling</v>
      </c>
      <c r="D21" s="17" t="n">
        <f aca="false">IF('01 Rubric'!D13="","",'01 Rubric'!D13)</f>
        <v>10</v>
      </c>
      <c r="F21" s="16"/>
      <c r="G21" s="16"/>
      <c r="H21" s="16"/>
      <c r="I21" s="16"/>
      <c r="J21" s="16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customFormat="false" ht="15" hidden="false" customHeight="true" outlineLevel="0" collapsed="false">
      <c r="A22" s="6" t="str">
        <f aca="false">"K2"&amp;IF('00 Setup'!B17="",""," · "&amp;'00 Setup'!B17)</f>
        <v>K2</v>
      </c>
      <c r="B22" s="7" t="s">
        <v>139</v>
      </c>
      <c r="C22" s="7" t="str">
        <f aca="false">IF('01 Rubric'!B14="","",'01 Rubric'!B14)</f>
        <v>Team leadership and delegation</v>
      </c>
      <c r="D22" s="17" t="n">
        <f aca="false">IF('01 Rubric'!D14="","",'01 Rubric'!D14)</f>
        <v>10</v>
      </c>
      <c r="F22" s="16"/>
      <c r="G22" s="16"/>
      <c r="H22" s="16"/>
      <c r="I22" s="16"/>
      <c r="J22" s="16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customFormat="false" ht="15" hidden="false" customHeight="true" outlineLevel="0" collapsed="false">
      <c r="A23" s="6" t="str">
        <f aca="false">"K2"&amp;IF('00 Setup'!B17="",""," · "&amp;'00 Setup'!B17)</f>
        <v>K2</v>
      </c>
      <c r="B23" s="7" t="s">
        <v>144</v>
      </c>
      <c r="C23" s="7" t="str">
        <f aca="false">IF('01 Rubric'!B15="","",'01 Rubric'!B15)</f>
        <v>Stakeholder communication and reporting</v>
      </c>
      <c r="D23" s="17" t="n">
        <f aca="false">IF('01 Rubric'!D15="","",'01 Rubric'!D15)</f>
        <v>10</v>
      </c>
      <c r="F23" s="16"/>
      <c r="G23" s="16"/>
      <c r="H23" s="16"/>
      <c r="I23" s="16"/>
      <c r="J23" s="16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customFormat="false" ht="15" hidden="false" customHeight="true" outlineLevel="0" collapsed="false">
      <c r="A24" s="6" t="str">
        <f aca="false">"K2"&amp;IF('00 Setup'!B17="",""," · "&amp;'00 Setup'!B17)</f>
        <v>K2</v>
      </c>
      <c r="B24" s="7" t="s">
        <v>149</v>
      </c>
      <c r="C24" s="7" t="str">
        <f aca="false">IF('01 Rubric'!B16="","",'01 Rubric'!B16)</f>
        <v>Jurisdictional and regulatory exposure</v>
      </c>
      <c r="D24" s="17" t="n">
        <f aca="false">IF('01 Rubric'!D16="","",'01 Rubric'!D16)</f>
        <v>8</v>
      </c>
      <c r="F24" s="16"/>
      <c r="G24" s="16"/>
      <c r="H24" s="16"/>
      <c r="I24" s="16"/>
      <c r="J24" s="16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customFormat="false" ht="15" hidden="false" customHeight="true" outlineLevel="0" collapsed="false">
      <c r="A25" s="6" t="str">
        <f aca="false">"K3"&amp;IF('00 Setup'!B18="",""," · "&amp;'00 Setup'!B18)</f>
        <v>K3</v>
      </c>
      <c r="B25" s="7" t="s">
        <v>107</v>
      </c>
      <c r="C25" s="7" t="str">
        <f aca="false">IF('01 Rubric'!B8="","",'01 Rubric'!B8)</f>
        <v>Technical accounting and IFRS application</v>
      </c>
      <c r="D25" s="17" t="n">
        <f aca="false">IF('01 Rubric'!D8="","",'01 Rubric'!D8)</f>
        <v>15</v>
      </c>
      <c r="F25" s="16"/>
      <c r="G25" s="16"/>
      <c r="H25" s="16"/>
      <c r="I25" s="16"/>
      <c r="J25" s="16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customFormat="false" ht="15" hidden="false" customHeight="true" outlineLevel="0" collapsed="false">
      <c r="A26" s="6" t="str">
        <f aca="false">"K3"&amp;IF('00 Setup'!B18="",""," · "&amp;'00 Setup'!B18)</f>
        <v>K3</v>
      </c>
      <c r="B26" s="7" t="s">
        <v>113</v>
      </c>
      <c r="C26" s="7" t="str">
        <f aca="false">IF('01 Rubric'!B9="","",'01 Rubric'!B9)</f>
        <v>Financial reporting and close ownership</v>
      </c>
      <c r="D26" s="17" t="n">
        <f aca="false">IF('01 Rubric'!D9="","",'01 Rubric'!D9)</f>
        <v>15</v>
      </c>
      <c r="F26" s="16"/>
      <c r="G26" s="16"/>
      <c r="H26" s="16"/>
      <c r="I26" s="16"/>
      <c r="J26" s="16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customFormat="false" ht="15" hidden="false" customHeight="true" outlineLevel="0" collapsed="false">
      <c r="A27" s="6" t="str">
        <f aca="false">"K3"&amp;IF('00 Setup'!B18="",""," · "&amp;'00 Setup'!B18)</f>
        <v>K3</v>
      </c>
      <c r="B27" s="7" t="s">
        <v>118</v>
      </c>
      <c r="C27" s="7" t="str">
        <f aca="false">IF('01 Rubric'!B10="","",'01 Rubric'!B10)</f>
        <v>Controls, compliance and audit readiness</v>
      </c>
      <c r="D27" s="17" t="n">
        <f aca="false">IF('01 Rubric'!D10="","",'01 Rubric'!D10)</f>
        <v>12</v>
      </c>
      <c r="F27" s="16"/>
      <c r="G27" s="16"/>
      <c r="H27" s="16"/>
      <c r="I27" s="16"/>
      <c r="J27" s="16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customFormat="false" ht="15" hidden="false" customHeight="true" outlineLevel="0" collapsed="false">
      <c r="A28" s="6" t="str">
        <f aca="false">"K3"&amp;IF('00 Setup'!B18="",""," · "&amp;'00 Setup'!B18)</f>
        <v>K3</v>
      </c>
      <c r="B28" s="7" t="s">
        <v>123</v>
      </c>
      <c r="C28" s="7" t="str">
        <f aca="false">IF('01 Rubric'!B11="","",'01 Rubric'!B11)</f>
        <v>Planning, budgeting and forecasting</v>
      </c>
      <c r="D28" s="17" t="n">
        <f aca="false">IF('01 Rubric'!D11="","",'01 Rubric'!D11)</f>
        <v>12</v>
      </c>
      <c r="F28" s="16"/>
      <c r="G28" s="16"/>
      <c r="H28" s="16"/>
      <c r="I28" s="16"/>
      <c r="J28" s="16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customFormat="false" ht="15" hidden="false" customHeight="true" outlineLevel="0" collapsed="false">
      <c r="A29" s="6" t="str">
        <f aca="false">"K3"&amp;IF('00 Setup'!B18="",""," · "&amp;'00 Setup'!B18)</f>
        <v>K3</v>
      </c>
      <c r="B29" s="7" t="s">
        <v>128</v>
      </c>
      <c r="C29" s="7" t="str">
        <f aca="false">IF('01 Rubric'!B12="","",'01 Rubric'!B12)</f>
        <v>Cash, treasury and working capital</v>
      </c>
      <c r="D29" s="17" t="n">
        <f aca="false">IF('01 Rubric'!D12="","",'01 Rubric'!D12)</f>
        <v>8</v>
      </c>
      <c r="F29" s="16"/>
      <c r="G29" s="16"/>
      <c r="H29" s="16"/>
      <c r="I29" s="16"/>
      <c r="J29" s="16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customFormat="false" ht="15" hidden="false" customHeight="true" outlineLevel="0" collapsed="false">
      <c r="A30" s="6" t="str">
        <f aca="false">"K3"&amp;IF('00 Setup'!B18="",""," · "&amp;'00 Setup'!B18)</f>
        <v>K3</v>
      </c>
      <c r="B30" s="7" t="s">
        <v>134</v>
      </c>
      <c r="C30" s="7" t="str">
        <f aca="false">IF('01 Rubric'!B13="","",'01 Rubric'!B13)</f>
        <v>Systems, data and reporting tooling</v>
      </c>
      <c r="D30" s="17" t="n">
        <f aca="false">IF('01 Rubric'!D13="","",'01 Rubric'!D13)</f>
        <v>10</v>
      </c>
      <c r="F30" s="16"/>
      <c r="G30" s="16"/>
      <c r="H30" s="16"/>
      <c r="I30" s="16"/>
      <c r="J30" s="16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customFormat="false" ht="15" hidden="false" customHeight="true" outlineLevel="0" collapsed="false">
      <c r="A31" s="6" t="str">
        <f aca="false">"K3"&amp;IF('00 Setup'!B18="",""," · "&amp;'00 Setup'!B18)</f>
        <v>K3</v>
      </c>
      <c r="B31" s="7" t="s">
        <v>139</v>
      </c>
      <c r="C31" s="7" t="str">
        <f aca="false">IF('01 Rubric'!B14="","",'01 Rubric'!B14)</f>
        <v>Team leadership and delegation</v>
      </c>
      <c r="D31" s="17" t="n">
        <f aca="false">IF('01 Rubric'!D14="","",'01 Rubric'!D14)</f>
        <v>10</v>
      </c>
      <c r="F31" s="16"/>
      <c r="G31" s="16"/>
      <c r="H31" s="16"/>
      <c r="I31" s="16"/>
      <c r="J31" s="16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customFormat="false" ht="15" hidden="false" customHeight="true" outlineLevel="0" collapsed="false">
      <c r="A32" s="6" t="str">
        <f aca="false">"K3"&amp;IF('00 Setup'!B18="",""," · "&amp;'00 Setup'!B18)</f>
        <v>K3</v>
      </c>
      <c r="B32" s="7" t="s">
        <v>144</v>
      </c>
      <c r="C32" s="7" t="str">
        <f aca="false">IF('01 Rubric'!B15="","",'01 Rubric'!B15)</f>
        <v>Stakeholder communication and reporting</v>
      </c>
      <c r="D32" s="17" t="n">
        <f aca="false">IF('01 Rubric'!D15="","",'01 Rubric'!D15)</f>
        <v>10</v>
      </c>
      <c r="F32" s="16"/>
      <c r="G32" s="16"/>
      <c r="H32" s="16"/>
      <c r="I32" s="16"/>
      <c r="J32" s="16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customFormat="false" ht="15" hidden="false" customHeight="true" outlineLevel="0" collapsed="false">
      <c r="A33" s="6" t="str">
        <f aca="false">"K3"&amp;IF('00 Setup'!B18="",""," · "&amp;'00 Setup'!B18)</f>
        <v>K3</v>
      </c>
      <c r="B33" s="7" t="s">
        <v>149</v>
      </c>
      <c r="C33" s="7" t="str">
        <f aca="false">IF('01 Rubric'!B16="","",'01 Rubric'!B16)</f>
        <v>Jurisdictional and regulatory exposure</v>
      </c>
      <c r="D33" s="17" t="n">
        <f aca="false">IF('01 Rubric'!D16="","",'01 Rubric'!D16)</f>
        <v>8</v>
      </c>
      <c r="F33" s="16"/>
      <c r="G33" s="16"/>
      <c r="H33" s="16"/>
      <c r="I33" s="16"/>
      <c r="J33" s="16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customFormat="false" ht="15" hidden="false" customHeight="true" outlineLevel="0" collapsed="false">
      <c r="A34" s="6" t="str">
        <f aca="false">"K4"&amp;IF('00 Setup'!B19="",""," · "&amp;'00 Setup'!B19)</f>
        <v>K4</v>
      </c>
      <c r="B34" s="7" t="s">
        <v>107</v>
      </c>
      <c r="C34" s="7" t="str">
        <f aca="false">IF('01 Rubric'!B8="","",'01 Rubric'!B8)</f>
        <v>Technical accounting and IFRS application</v>
      </c>
      <c r="D34" s="17" t="n">
        <f aca="false">IF('01 Rubric'!D8="","",'01 Rubric'!D8)</f>
        <v>15</v>
      </c>
      <c r="F34" s="16"/>
      <c r="G34" s="16"/>
      <c r="H34" s="16"/>
      <c r="I34" s="16"/>
      <c r="J34" s="16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customFormat="false" ht="15" hidden="false" customHeight="true" outlineLevel="0" collapsed="false">
      <c r="A35" s="6" t="str">
        <f aca="false">"K4"&amp;IF('00 Setup'!B19="",""," · "&amp;'00 Setup'!B19)</f>
        <v>K4</v>
      </c>
      <c r="B35" s="7" t="s">
        <v>113</v>
      </c>
      <c r="C35" s="7" t="str">
        <f aca="false">IF('01 Rubric'!B9="","",'01 Rubric'!B9)</f>
        <v>Financial reporting and close ownership</v>
      </c>
      <c r="D35" s="17" t="n">
        <f aca="false">IF('01 Rubric'!D9="","",'01 Rubric'!D9)</f>
        <v>15</v>
      </c>
      <c r="F35" s="16"/>
      <c r="G35" s="16"/>
      <c r="H35" s="16"/>
      <c r="I35" s="16"/>
      <c r="J35" s="16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customFormat="false" ht="15" hidden="false" customHeight="true" outlineLevel="0" collapsed="false">
      <c r="A36" s="6" t="str">
        <f aca="false">"K4"&amp;IF('00 Setup'!B19="",""," · "&amp;'00 Setup'!B19)</f>
        <v>K4</v>
      </c>
      <c r="B36" s="7" t="s">
        <v>118</v>
      </c>
      <c r="C36" s="7" t="str">
        <f aca="false">IF('01 Rubric'!B10="","",'01 Rubric'!B10)</f>
        <v>Controls, compliance and audit readiness</v>
      </c>
      <c r="D36" s="17" t="n">
        <f aca="false">IF('01 Rubric'!D10="","",'01 Rubric'!D10)</f>
        <v>12</v>
      </c>
      <c r="F36" s="16"/>
      <c r="G36" s="16"/>
      <c r="H36" s="16"/>
      <c r="I36" s="16"/>
      <c r="J36" s="16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customFormat="false" ht="15" hidden="false" customHeight="true" outlineLevel="0" collapsed="false">
      <c r="A37" s="6" t="str">
        <f aca="false">"K4"&amp;IF('00 Setup'!B19="",""," · "&amp;'00 Setup'!B19)</f>
        <v>K4</v>
      </c>
      <c r="B37" s="7" t="s">
        <v>123</v>
      </c>
      <c r="C37" s="7" t="str">
        <f aca="false">IF('01 Rubric'!B11="","",'01 Rubric'!B11)</f>
        <v>Planning, budgeting and forecasting</v>
      </c>
      <c r="D37" s="17" t="n">
        <f aca="false">IF('01 Rubric'!D11="","",'01 Rubric'!D11)</f>
        <v>12</v>
      </c>
      <c r="F37" s="16"/>
      <c r="G37" s="16"/>
      <c r="H37" s="16"/>
      <c r="I37" s="16"/>
      <c r="J37" s="16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customFormat="false" ht="15" hidden="false" customHeight="true" outlineLevel="0" collapsed="false">
      <c r="A38" s="6" t="str">
        <f aca="false">"K4"&amp;IF('00 Setup'!B19="",""," · "&amp;'00 Setup'!B19)</f>
        <v>K4</v>
      </c>
      <c r="B38" s="7" t="s">
        <v>128</v>
      </c>
      <c r="C38" s="7" t="str">
        <f aca="false">IF('01 Rubric'!B12="","",'01 Rubric'!B12)</f>
        <v>Cash, treasury and working capital</v>
      </c>
      <c r="D38" s="17" t="n">
        <f aca="false">IF('01 Rubric'!D12="","",'01 Rubric'!D12)</f>
        <v>8</v>
      </c>
      <c r="F38" s="16"/>
      <c r="G38" s="16"/>
      <c r="H38" s="16"/>
      <c r="I38" s="16"/>
      <c r="J38" s="16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customFormat="false" ht="15" hidden="false" customHeight="true" outlineLevel="0" collapsed="false">
      <c r="A39" s="6" t="str">
        <f aca="false">"K4"&amp;IF('00 Setup'!B19="",""," · "&amp;'00 Setup'!B19)</f>
        <v>K4</v>
      </c>
      <c r="B39" s="7" t="s">
        <v>134</v>
      </c>
      <c r="C39" s="7" t="str">
        <f aca="false">IF('01 Rubric'!B13="","",'01 Rubric'!B13)</f>
        <v>Systems, data and reporting tooling</v>
      </c>
      <c r="D39" s="17" t="n">
        <f aca="false">IF('01 Rubric'!D13="","",'01 Rubric'!D13)</f>
        <v>10</v>
      </c>
      <c r="F39" s="16"/>
      <c r="G39" s="16"/>
      <c r="H39" s="16"/>
      <c r="I39" s="16"/>
      <c r="J39" s="16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customFormat="false" ht="15" hidden="false" customHeight="true" outlineLevel="0" collapsed="false">
      <c r="A40" s="6" t="str">
        <f aca="false">"K4"&amp;IF('00 Setup'!B19="",""," · "&amp;'00 Setup'!B19)</f>
        <v>K4</v>
      </c>
      <c r="B40" s="7" t="s">
        <v>139</v>
      </c>
      <c r="C40" s="7" t="str">
        <f aca="false">IF('01 Rubric'!B14="","",'01 Rubric'!B14)</f>
        <v>Team leadership and delegation</v>
      </c>
      <c r="D40" s="17" t="n">
        <f aca="false">IF('01 Rubric'!D14="","",'01 Rubric'!D14)</f>
        <v>10</v>
      </c>
      <c r="F40" s="16"/>
      <c r="G40" s="16"/>
      <c r="H40" s="16"/>
      <c r="I40" s="16"/>
      <c r="J40" s="16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customFormat="false" ht="15" hidden="false" customHeight="true" outlineLevel="0" collapsed="false">
      <c r="A41" s="6" t="str">
        <f aca="false">"K4"&amp;IF('00 Setup'!B19="",""," · "&amp;'00 Setup'!B19)</f>
        <v>K4</v>
      </c>
      <c r="B41" s="7" t="s">
        <v>144</v>
      </c>
      <c r="C41" s="7" t="str">
        <f aca="false">IF('01 Rubric'!B15="","",'01 Rubric'!B15)</f>
        <v>Stakeholder communication and reporting</v>
      </c>
      <c r="D41" s="17" t="n">
        <f aca="false">IF('01 Rubric'!D15="","",'01 Rubric'!D15)</f>
        <v>10</v>
      </c>
      <c r="F41" s="16"/>
      <c r="G41" s="16"/>
      <c r="H41" s="16"/>
      <c r="I41" s="16"/>
      <c r="J41" s="16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customFormat="false" ht="15" hidden="false" customHeight="true" outlineLevel="0" collapsed="false">
      <c r="A42" s="6" t="str">
        <f aca="false">"K4"&amp;IF('00 Setup'!B19="",""," · "&amp;'00 Setup'!B19)</f>
        <v>K4</v>
      </c>
      <c r="B42" s="7" t="s">
        <v>149</v>
      </c>
      <c r="C42" s="7" t="str">
        <f aca="false">IF('01 Rubric'!B16="","",'01 Rubric'!B16)</f>
        <v>Jurisdictional and regulatory exposure</v>
      </c>
      <c r="D42" s="17" t="n">
        <f aca="false">IF('01 Rubric'!D16="","",'01 Rubric'!D16)</f>
        <v>8</v>
      </c>
      <c r="F42" s="16"/>
      <c r="G42" s="16"/>
      <c r="H42" s="16"/>
      <c r="I42" s="16"/>
      <c r="J42" s="16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customFormat="false" ht="15" hidden="false" customHeight="true" outlineLevel="0" collapsed="false">
      <c r="A43" s="6" t="str">
        <f aca="false">"K5"&amp;IF('00 Setup'!B20="",""," · "&amp;'00 Setup'!B20)</f>
        <v>K5</v>
      </c>
      <c r="B43" s="7" t="s">
        <v>107</v>
      </c>
      <c r="C43" s="7" t="str">
        <f aca="false">IF('01 Rubric'!B8="","",'01 Rubric'!B8)</f>
        <v>Technical accounting and IFRS application</v>
      </c>
      <c r="D43" s="17" t="n">
        <f aca="false">IF('01 Rubric'!D8="","",'01 Rubric'!D8)</f>
        <v>15</v>
      </c>
      <c r="F43" s="16"/>
      <c r="G43" s="16"/>
      <c r="H43" s="16"/>
      <c r="I43" s="16"/>
      <c r="J43" s="16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customFormat="false" ht="15" hidden="false" customHeight="true" outlineLevel="0" collapsed="false">
      <c r="A44" s="6" t="str">
        <f aca="false">"K5"&amp;IF('00 Setup'!B20="",""," · "&amp;'00 Setup'!B20)</f>
        <v>K5</v>
      </c>
      <c r="B44" s="7" t="s">
        <v>113</v>
      </c>
      <c r="C44" s="7" t="str">
        <f aca="false">IF('01 Rubric'!B9="","",'01 Rubric'!B9)</f>
        <v>Financial reporting and close ownership</v>
      </c>
      <c r="D44" s="17" t="n">
        <f aca="false">IF('01 Rubric'!D9="","",'01 Rubric'!D9)</f>
        <v>15</v>
      </c>
      <c r="F44" s="16"/>
      <c r="G44" s="16"/>
      <c r="H44" s="16"/>
      <c r="I44" s="16"/>
      <c r="J44" s="16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customFormat="false" ht="15" hidden="false" customHeight="true" outlineLevel="0" collapsed="false">
      <c r="A45" s="6" t="str">
        <f aca="false">"K5"&amp;IF('00 Setup'!B20="",""," · "&amp;'00 Setup'!B20)</f>
        <v>K5</v>
      </c>
      <c r="B45" s="7" t="s">
        <v>118</v>
      </c>
      <c r="C45" s="7" t="str">
        <f aca="false">IF('01 Rubric'!B10="","",'01 Rubric'!B10)</f>
        <v>Controls, compliance and audit readiness</v>
      </c>
      <c r="D45" s="17" t="n">
        <f aca="false">IF('01 Rubric'!D10="","",'01 Rubric'!D10)</f>
        <v>12</v>
      </c>
      <c r="F45" s="16"/>
      <c r="G45" s="16"/>
      <c r="H45" s="16"/>
      <c r="I45" s="16"/>
      <c r="J45" s="16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customFormat="false" ht="15" hidden="false" customHeight="true" outlineLevel="0" collapsed="false">
      <c r="A46" s="6" t="str">
        <f aca="false">"K5"&amp;IF('00 Setup'!B20="",""," · "&amp;'00 Setup'!B20)</f>
        <v>K5</v>
      </c>
      <c r="B46" s="7" t="s">
        <v>123</v>
      </c>
      <c r="C46" s="7" t="str">
        <f aca="false">IF('01 Rubric'!B11="","",'01 Rubric'!B11)</f>
        <v>Planning, budgeting and forecasting</v>
      </c>
      <c r="D46" s="17" t="n">
        <f aca="false">IF('01 Rubric'!D11="","",'01 Rubric'!D11)</f>
        <v>12</v>
      </c>
      <c r="F46" s="16"/>
      <c r="G46" s="16"/>
      <c r="H46" s="16"/>
      <c r="I46" s="16"/>
      <c r="J46" s="16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customFormat="false" ht="15" hidden="false" customHeight="true" outlineLevel="0" collapsed="false">
      <c r="A47" s="6" t="str">
        <f aca="false">"K5"&amp;IF('00 Setup'!B20="",""," · "&amp;'00 Setup'!B20)</f>
        <v>K5</v>
      </c>
      <c r="B47" s="7" t="s">
        <v>128</v>
      </c>
      <c r="C47" s="7" t="str">
        <f aca="false">IF('01 Rubric'!B12="","",'01 Rubric'!B12)</f>
        <v>Cash, treasury and working capital</v>
      </c>
      <c r="D47" s="17" t="n">
        <f aca="false">IF('01 Rubric'!D12="","",'01 Rubric'!D12)</f>
        <v>8</v>
      </c>
      <c r="F47" s="16"/>
      <c r="G47" s="16"/>
      <c r="H47" s="16"/>
      <c r="I47" s="16"/>
      <c r="J47" s="16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customFormat="false" ht="15" hidden="false" customHeight="true" outlineLevel="0" collapsed="false">
      <c r="A48" s="6" t="str">
        <f aca="false">"K5"&amp;IF('00 Setup'!B20="",""," · "&amp;'00 Setup'!B20)</f>
        <v>K5</v>
      </c>
      <c r="B48" s="7" t="s">
        <v>134</v>
      </c>
      <c r="C48" s="7" t="str">
        <f aca="false">IF('01 Rubric'!B13="","",'01 Rubric'!B13)</f>
        <v>Systems, data and reporting tooling</v>
      </c>
      <c r="D48" s="17" t="n">
        <f aca="false">IF('01 Rubric'!D13="","",'01 Rubric'!D13)</f>
        <v>10</v>
      </c>
      <c r="F48" s="16"/>
      <c r="G48" s="16"/>
      <c r="H48" s="16"/>
      <c r="I48" s="16"/>
      <c r="J48" s="16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customFormat="false" ht="15" hidden="false" customHeight="true" outlineLevel="0" collapsed="false">
      <c r="A49" s="6" t="str">
        <f aca="false">"K5"&amp;IF('00 Setup'!B20="",""," · "&amp;'00 Setup'!B20)</f>
        <v>K5</v>
      </c>
      <c r="B49" s="7" t="s">
        <v>139</v>
      </c>
      <c r="C49" s="7" t="str">
        <f aca="false">IF('01 Rubric'!B14="","",'01 Rubric'!B14)</f>
        <v>Team leadership and delegation</v>
      </c>
      <c r="D49" s="17" t="n">
        <f aca="false">IF('01 Rubric'!D14="","",'01 Rubric'!D14)</f>
        <v>10</v>
      </c>
      <c r="F49" s="16"/>
      <c r="G49" s="16"/>
      <c r="H49" s="16"/>
      <c r="I49" s="16"/>
      <c r="J49" s="16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customFormat="false" ht="15" hidden="false" customHeight="true" outlineLevel="0" collapsed="false">
      <c r="A50" s="6" t="str">
        <f aca="false">"K5"&amp;IF('00 Setup'!B20="",""," · "&amp;'00 Setup'!B20)</f>
        <v>K5</v>
      </c>
      <c r="B50" s="7" t="s">
        <v>144</v>
      </c>
      <c r="C50" s="7" t="str">
        <f aca="false">IF('01 Rubric'!B15="","",'01 Rubric'!B15)</f>
        <v>Stakeholder communication and reporting</v>
      </c>
      <c r="D50" s="17" t="n">
        <f aca="false">IF('01 Rubric'!D15="","",'01 Rubric'!D15)</f>
        <v>10</v>
      </c>
      <c r="F50" s="16"/>
      <c r="G50" s="16"/>
      <c r="H50" s="16"/>
      <c r="I50" s="16"/>
      <c r="J50" s="16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customFormat="false" ht="15" hidden="false" customHeight="true" outlineLevel="0" collapsed="false">
      <c r="A51" s="6" t="str">
        <f aca="false">"K5"&amp;IF('00 Setup'!B20="",""," · "&amp;'00 Setup'!B20)</f>
        <v>K5</v>
      </c>
      <c r="B51" s="7" t="s">
        <v>149</v>
      </c>
      <c r="C51" s="7" t="str">
        <f aca="false">IF('01 Rubric'!B16="","",'01 Rubric'!B16)</f>
        <v>Jurisdictional and regulatory exposure</v>
      </c>
      <c r="D51" s="17" t="n">
        <f aca="false">IF('01 Rubric'!D16="","",'01 Rubric'!D16)</f>
        <v>8</v>
      </c>
      <c r="F51" s="16"/>
      <c r="G51" s="16"/>
      <c r="H51" s="16"/>
      <c r="I51" s="16"/>
      <c r="J51" s="16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customFormat="false" ht="15" hidden="false" customHeight="true" outlineLevel="0" collapsed="false">
      <c r="A52" s="6" t="str">
        <f aca="false">"K6"&amp;IF('00 Setup'!B21="",""," · "&amp;'00 Setup'!B21)</f>
        <v>K6</v>
      </c>
      <c r="B52" s="7" t="s">
        <v>107</v>
      </c>
      <c r="C52" s="7" t="str">
        <f aca="false">IF('01 Rubric'!B8="","",'01 Rubric'!B8)</f>
        <v>Technical accounting and IFRS application</v>
      </c>
      <c r="D52" s="17" t="n">
        <f aca="false">IF('01 Rubric'!D8="","",'01 Rubric'!D8)</f>
        <v>15</v>
      </c>
      <c r="F52" s="16"/>
      <c r="G52" s="16"/>
      <c r="H52" s="16"/>
      <c r="I52" s="16"/>
      <c r="J52" s="16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customFormat="false" ht="15" hidden="false" customHeight="true" outlineLevel="0" collapsed="false">
      <c r="A53" s="6" t="str">
        <f aca="false">"K6"&amp;IF('00 Setup'!B21="",""," · "&amp;'00 Setup'!B21)</f>
        <v>K6</v>
      </c>
      <c r="B53" s="7" t="s">
        <v>113</v>
      </c>
      <c r="C53" s="7" t="str">
        <f aca="false">IF('01 Rubric'!B9="","",'01 Rubric'!B9)</f>
        <v>Financial reporting and close ownership</v>
      </c>
      <c r="D53" s="17" t="n">
        <f aca="false">IF('01 Rubric'!D9="","",'01 Rubric'!D9)</f>
        <v>15</v>
      </c>
      <c r="F53" s="16"/>
      <c r="G53" s="16"/>
      <c r="H53" s="16"/>
      <c r="I53" s="16"/>
      <c r="J53" s="16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customFormat="false" ht="15" hidden="false" customHeight="true" outlineLevel="0" collapsed="false">
      <c r="A54" s="6" t="str">
        <f aca="false">"K6"&amp;IF('00 Setup'!B21="",""," · "&amp;'00 Setup'!B21)</f>
        <v>K6</v>
      </c>
      <c r="B54" s="7" t="s">
        <v>118</v>
      </c>
      <c r="C54" s="7" t="str">
        <f aca="false">IF('01 Rubric'!B10="","",'01 Rubric'!B10)</f>
        <v>Controls, compliance and audit readiness</v>
      </c>
      <c r="D54" s="17" t="n">
        <f aca="false">IF('01 Rubric'!D10="","",'01 Rubric'!D10)</f>
        <v>12</v>
      </c>
      <c r="F54" s="16"/>
      <c r="G54" s="16"/>
      <c r="H54" s="16"/>
      <c r="I54" s="16"/>
      <c r="J54" s="16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customFormat="false" ht="15" hidden="false" customHeight="true" outlineLevel="0" collapsed="false">
      <c r="A55" s="6" t="str">
        <f aca="false">"K6"&amp;IF('00 Setup'!B21="",""," · "&amp;'00 Setup'!B21)</f>
        <v>K6</v>
      </c>
      <c r="B55" s="7" t="s">
        <v>123</v>
      </c>
      <c r="C55" s="7" t="str">
        <f aca="false">IF('01 Rubric'!B11="","",'01 Rubric'!B11)</f>
        <v>Planning, budgeting and forecasting</v>
      </c>
      <c r="D55" s="17" t="n">
        <f aca="false">IF('01 Rubric'!D11="","",'01 Rubric'!D11)</f>
        <v>12</v>
      </c>
      <c r="F55" s="16"/>
      <c r="G55" s="16"/>
      <c r="H55" s="16"/>
      <c r="I55" s="16"/>
      <c r="J55" s="16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customFormat="false" ht="15" hidden="false" customHeight="true" outlineLevel="0" collapsed="false">
      <c r="A56" s="6" t="str">
        <f aca="false">"K6"&amp;IF('00 Setup'!B21="",""," · "&amp;'00 Setup'!B21)</f>
        <v>K6</v>
      </c>
      <c r="B56" s="7" t="s">
        <v>128</v>
      </c>
      <c r="C56" s="7" t="str">
        <f aca="false">IF('01 Rubric'!B12="","",'01 Rubric'!B12)</f>
        <v>Cash, treasury and working capital</v>
      </c>
      <c r="D56" s="17" t="n">
        <f aca="false">IF('01 Rubric'!D12="","",'01 Rubric'!D12)</f>
        <v>8</v>
      </c>
      <c r="F56" s="16"/>
      <c r="G56" s="16"/>
      <c r="H56" s="16"/>
      <c r="I56" s="16"/>
      <c r="J56" s="16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customFormat="false" ht="15" hidden="false" customHeight="true" outlineLevel="0" collapsed="false">
      <c r="A57" s="6" t="str">
        <f aca="false">"K6"&amp;IF('00 Setup'!B21="",""," · "&amp;'00 Setup'!B21)</f>
        <v>K6</v>
      </c>
      <c r="B57" s="7" t="s">
        <v>134</v>
      </c>
      <c r="C57" s="7" t="str">
        <f aca="false">IF('01 Rubric'!B13="","",'01 Rubric'!B13)</f>
        <v>Systems, data and reporting tooling</v>
      </c>
      <c r="D57" s="17" t="n">
        <f aca="false">IF('01 Rubric'!D13="","",'01 Rubric'!D13)</f>
        <v>10</v>
      </c>
      <c r="F57" s="16"/>
      <c r="G57" s="16"/>
      <c r="H57" s="16"/>
      <c r="I57" s="16"/>
      <c r="J57" s="16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customFormat="false" ht="15" hidden="false" customHeight="true" outlineLevel="0" collapsed="false">
      <c r="A58" s="6" t="str">
        <f aca="false">"K6"&amp;IF('00 Setup'!B21="",""," · "&amp;'00 Setup'!B21)</f>
        <v>K6</v>
      </c>
      <c r="B58" s="7" t="s">
        <v>139</v>
      </c>
      <c r="C58" s="7" t="str">
        <f aca="false">IF('01 Rubric'!B14="","",'01 Rubric'!B14)</f>
        <v>Team leadership and delegation</v>
      </c>
      <c r="D58" s="17" t="n">
        <f aca="false">IF('01 Rubric'!D14="","",'01 Rubric'!D14)</f>
        <v>10</v>
      </c>
      <c r="F58" s="16"/>
      <c r="G58" s="16"/>
      <c r="H58" s="16"/>
      <c r="I58" s="16"/>
      <c r="J58" s="16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customFormat="false" ht="15" hidden="false" customHeight="true" outlineLevel="0" collapsed="false">
      <c r="A59" s="6" t="str">
        <f aca="false">"K6"&amp;IF('00 Setup'!B21="",""," · "&amp;'00 Setup'!B21)</f>
        <v>K6</v>
      </c>
      <c r="B59" s="7" t="s">
        <v>144</v>
      </c>
      <c r="C59" s="7" t="str">
        <f aca="false">IF('01 Rubric'!B15="","",'01 Rubric'!B15)</f>
        <v>Stakeholder communication and reporting</v>
      </c>
      <c r="D59" s="17" t="n">
        <f aca="false">IF('01 Rubric'!D15="","",'01 Rubric'!D15)</f>
        <v>10</v>
      </c>
      <c r="F59" s="16"/>
      <c r="G59" s="16"/>
      <c r="H59" s="16"/>
      <c r="I59" s="16"/>
      <c r="J59" s="16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customFormat="false" ht="15" hidden="false" customHeight="true" outlineLevel="0" collapsed="false">
      <c r="A60" s="6" t="str">
        <f aca="false">"K6"&amp;IF('00 Setup'!B21="",""," · "&amp;'00 Setup'!B21)</f>
        <v>K6</v>
      </c>
      <c r="B60" s="7" t="s">
        <v>149</v>
      </c>
      <c r="C60" s="7" t="str">
        <f aca="false">IF('01 Rubric'!B16="","",'01 Rubric'!B16)</f>
        <v>Jurisdictional and regulatory exposure</v>
      </c>
      <c r="D60" s="17" t="n">
        <f aca="false">IF('01 Rubric'!D16="","",'01 Rubric'!D16)</f>
        <v>8</v>
      </c>
      <c r="F60" s="16"/>
      <c r="G60" s="16"/>
      <c r="H60" s="16"/>
      <c r="I60" s="16"/>
      <c r="J60" s="16"/>
      <c r="K60" s="9"/>
      <c r="L60" s="9"/>
      <c r="M60" s="9"/>
      <c r="N60" s="9"/>
      <c r="O60" s="9"/>
      <c r="P60" s="9"/>
      <c r="Q60" s="9"/>
      <c r="R60" s="9"/>
      <c r="S60" s="9"/>
      <c r="T60" s="9"/>
    </row>
  </sheetData>
  <dataValidations count="3">
    <dataValidation allowBlank="true" errorStyle="stop" operator="between" showDropDown="false" showErrorMessage="true" showInputMessage="false" sqref="F7:J60" type="whole">
      <formula1>0</formula1>
      <formula2>5</formula2>
    </dataValidation>
    <dataValidation allowBlank="true" errorStyle="stop" operator="between" showDropDown="false" showErrorMessage="true" showInputMessage="false" sqref="K7:O60" type="list">
      <formula1>"Documented,Interview-stated,Inferred,None"</formula1>
      <formula2>0</formula2>
    </dataValidation>
    <dataValidation allowBlank="true" error="Name the source and the fact, in at least 40 characters." errorStyle="stop" errorTitle="Evidence note too short" operator="greaterThanOrEqual" showDropDown="false" showErrorMessage="true" showInputMessage="false" sqref="P7:T60" type="textLength">
      <formula1>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5147"/>
    <pageSetUpPr fitToPage="tru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5" min="4" style="0" width="10"/>
    <col collapsed="false" customWidth="true" hidden="false" outlineLevel="0" max="8" min="6" style="0" width="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178</v>
      </c>
    </row>
    <row r="3" customFormat="false" ht="15" hidden="false" customHeight="false" outlineLevel="0" collapsed="false">
      <c r="A3" s="3" t="s">
        <v>179</v>
      </c>
    </row>
    <row r="4" customFormat="false" ht="15" hidden="false" customHeight="true" outlineLevel="0" collapsed="false"/>
    <row r="5" customFormat="false" ht="15" hidden="false" customHeight="true" outlineLevel="0" collapsed="false"/>
    <row r="6" customFormat="false" ht="27" hidden="false" customHeight="true" outlineLevel="0" collapsed="false">
      <c r="A6" s="4" t="s">
        <v>161</v>
      </c>
      <c r="B6" s="5" t="s">
        <v>70</v>
      </c>
      <c r="C6" s="5" t="s">
        <v>101</v>
      </c>
      <c r="D6" s="5" t="s">
        <v>160</v>
      </c>
      <c r="E6" s="5" t="s">
        <v>180</v>
      </c>
      <c r="F6" s="5" t="s">
        <v>181</v>
      </c>
      <c r="G6" s="5" t="s">
        <v>182</v>
      </c>
      <c r="H6" s="5" t="s">
        <v>183</v>
      </c>
      <c r="I6" s="5" t="s">
        <v>184</v>
      </c>
      <c r="J6" s="5" t="s">
        <v>185</v>
      </c>
      <c r="K6" s="5" t="s">
        <v>186</v>
      </c>
    </row>
    <row r="7" customFormat="false" ht="15" hidden="false" customHeight="true" outlineLevel="0" collapsed="false">
      <c r="A7" s="6" t="str">
        <f aca="false">"K1"&amp;IF('00 Setup'!B16="",""," · "&amp;'00 Setup'!B16)</f>
        <v>K1</v>
      </c>
      <c r="B7" s="7" t="s">
        <v>107</v>
      </c>
      <c r="C7" s="7" t="str">
        <f aca="false">IF('01 Rubric'!B8="","",'01 Rubric'!B8)</f>
        <v>Technical accounting and IFRS application</v>
      </c>
      <c r="D7" s="17" t="n">
        <f aca="false">COUNT('02 Scores'!F7:J7)</f>
        <v>0</v>
      </c>
      <c r="E7" s="17" t="n">
        <f aca="false">COUNTIF('02 Scores'!F7:J7,"&gt;0")</f>
        <v>0</v>
      </c>
      <c r="F7" s="17" t="str">
        <f aca="false">IF(E7=0,"",SMALL('02 Scores'!F7:J7,COUNTIF('02 Scores'!F7:J7,0)+1))</f>
        <v/>
      </c>
      <c r="G7" s="17" t="str">
        <f aca="false">IF(E7=0,"",MAX('02 Scores'!F7:J7))</f>
        <v/>
      </c>
      <c r="H7" s="17" t="str">
        <f aca="false">IF(E7=0,"",G7-F7)</f>
        <v/>
      </c>
      <c r="I7" s="19" t="str">
        <f aca="false">IF(E7=0,"",AVERAGEIF('02 Scores'!F7:J7,"&gt;0"))</f>
        <v/>
      </c>
      <c r="J7" s="17" t="str">
        <f aca="false">IF(E7=0,"",ROUNDUP(I7-0.5,0))</f>
        <v/>
      </c>
      <c r="K7" s="6" t="str">
        <f aca="false">IF(OR(C7="",D7=0),"",IF(E7=0,"No evidence",IF(H7&gt;=3,"Contradiction",IF(H7=2,"Divergence","Agreement"))))</f>
        <v/>
      </c>
    </row>
    <row r="8" customFormat="false" ht="15" hidden="false" customHeight="true" outlineLevel="0" collapsed="false">
      <c r="A8" s="6" t="str">
        <f aca="false">"K1"&amp;IF('00 Setup'!B16="",""," · "&amp;'00 Setup'!B16)</f>
        <v>K1</v>
      </c>
      <c r="B8" s="7" t="s">
        <v>113</v>
      </c>
      <c r="C8" s="7" t="str">
        <f aca="false">IF('01 Rubric'!B9="","",'01 Rubric'!B9)</f>
        <v>Financial reporting and close ownership</v>
      </c>
      <c r="D8" s="17" t="n">
        <f aca="false">COUNT('02 Scores'!F8:J8)</f>
        <v>0</v>
      </c>
      <c r="E8" s="17" t="n">
        <f aca="false">COUNTIF('02 Scores'!F8:J8,"&gt;0")</f>
        <v>0</v>
      </c>
      <c r="F8" s="17" t="str">
        <f aca="false">IF(E8=0,"",SMALL('02 Scores'!F8:J8,COUNTIF('02 Scores'!F8:J8,0)+1))</f>
        <v/>
      </c>
      <c r="G8" s="17" t="str">
        <f aca="false">IF(E8=0,"",MAX('02 Scores'!F8:J8))</f>
        <v/>
      </c>
      <c r="H8" s="17" t="str">
        <f aca="false">IF(E8=0,"",G8-F8)</f>
        <v/>
      </c>
      <c r="I8" s="19" t="str">
        <f aca="false">IF(E8=0,"",AVERAGEIF('02 Scores'!F8:J8,"&gt;0"))</f>
        <v/>
      </c>
      <c r="J8" s="17" t="str">
        <f aca="false">IF(E8=0,"",ROUNDUP(I8-0.5,0))</f>
        <v/>
      </c>
      <c r="K8" s="6" t="str">
        <f aca="false">IF(OR(C8="",D8=0),"",IF(E8=0,"No evidence",IF(H8&gt;=3,"Contradiction",IF(H8=2,"Divergence","Agreement"))))</f>
        <v/>
      </c>
    </row>
    <row r="9" customFormat="false" ht="15" hidden="false" customHeight="true" outlineLevel="0" collapsed="false">
      <c r="A9" s="6" t="str">
        <f aca="false">"K1"&amp;IF('00 Setup'!B16="",""," · "&amp;'00 Setup'!B16)</f>
        <v>K1</v>
      </c>
      <c r="B9" s="7" t="s">
        <v>118</v>
      </c>
      <c r="C9" s="7" t="str">
        <f aca="false">IF('01 Rubric'!B10="","",'01 Rubric'!B10)</f>
        <v>Controls, compliance and audit readiness</v>
      </c>
      <c r="D9" s="17" t="n">
        <f aca="false">COUNT('02 Scores'!F9:J9)</f>
        <v>0</v>
      </c>
      <c r="E9" s="17" t="n">
        <f aca="false">COUNTIF('02 Scores'!F9:J9,"&gt;0")</f>
        <v>0</v>
      </c>
      <c r="F9" s="17" t="str">
        <f aca="false">IF(E9=0,"",SMALL('02 Scores'!F9:J9,COUNTIF('02 Scores'!F9:J9,0)+1))</f>
        <v/>
      </c>
      <c r="G9" s="17" t="str">
        <f aca="false">IF(E9=0,"",MAX('02 Scores'!F9:J9))</f>
        <v/>
      </c>
      <c r="H9" s="17" t="str">
        <f aca="false">IF(E9=0,"",G9-F9)</f>
        <v/>
      </c>
      <c r="I9" s="19" t="str">
        <f aca="false">IF(E9=0,"",AVERAGEIF('02 Scores'!F9:J9,"&gt;0"))</f>
        <v/>
      </c>
      <c r="J9" s="17" t="str">
        <f aca="false">IF(E9=0,"",ROUNDUP(I9-0.5,0))</f>
        <v/>
      </c>
      <c r="K9" s="6" t="str">
        <f aca="false">IF(OR(C9="",D9=0),"",IF(E9=0,"No evidence",IF(H9&gt;=3,"Contradiction",IF(H9=2,"Divergence","Agreement"))))</f>
        <v/>
      </c>
    </row>
    <row r="10" customFormat="false" ht="15" hidden="false" customHeight="true" outlineLevel="0" collapsed="false">
      <c r="A10" s="6" t="str">
        <f aca="false">"K1"&amp;IF('00 Setup'!B16="",""," · "&amp;'00 Setup'!B16)</f>
        <v>K1</v>
      </c>
      <c r="B10" s="7" t="s">
        <v>123</v>
      </c>
      <c r="C10" s="7" t="str">
        <f aca="false">IF('01 Rubric'!B11="","",'01 Rubric'!B11)</f>
        <v>Planning, budgeting and forecasting</v>
      </c>
      <c r="D10" s="17" t="n">
        <f aca="false">COUNT('02 Scores'!F10:J10)</f>
        <v>0</v>
      </c>
      <c r="E10" s="17" t="n">
        <f aca="false">COUNTIF('02 Scores'!F10:J10,"&gt;0")</f>
        <v>0</v>
      </c>
      <c r="F10" s="17" t="str">
        <f aca="false">IF(E10=0,"",SMALL('02 Scores'!F10:J10,COUNTIF('02 Scores'!F10:J10,0)+1))</f>
        <v/>
      </c>
      <c r="G10" s="17" t="str">
        <f aca="false">IF(E10=0,"",MAX('02 Scores'!F10:J10))</f>
        <v/>
      </c>
      <c r="H10" s="17" t="str">
        <f aca="false">IF(E10=0,"",G10-F10)</f>
        <v/>
      </c>
      <c r="I10" s="19" t="str">
        <f aca="false">IF(E10=0,"",AVERAGEIF('02 Scores'!F10:J10,"&gt;0"))</f>
        <v/>
      </c>
      <c r="J10" s="17" t="str">
        <f aca="false">IF(E10=0,"",ROUNDUP(I10-0.5,0))</f>
        <v/>
      </c>
      <c r="K10" s="6" t="str">
        <f aca="false">IF(OR(C10="",D10=0),"",IF(E10=0,"No evidence",IF(H10&gt;=3,"Contradiction",IF(H10=2,"Divergence","Agreement"))))</f>
        <v/>
      </c>
    </row>
    <row r="11" customFormat="false" ht="15" hidden="false" customHeight="true" outlineLevel="0" collapsed="false">
      <c r="A11" s="6" t="str">
        <f aca="false">"K1"&amp;IF('00 Setup'!B16="",""," · "&amp;'00 Setup'!B16)</f>
        <v>K1</v>
      </c>
      <c r="B11" s="7" t="s">
        <v>128</v>
      </c>
      <c r="C11" s="7" t="str">
        <f aca="false">IF('01 Rubric'!B12="","",'01 Rubric'!B12)</f>
        <v>Cash, treasury and working capital</v>
      </c>
      <c r="D11" s="17" t="n">
        <f aca="false">COUNT('02 Scores'!F11:J11)</f>
        <v>0</v>
      </c>
      <c r="E11" s="17" t="n">
        <f aca="false">COUNTIF('02 Scores'!F11:J11,"&gt;0")</f>
        <v>0</v>
      </c>
      <c r="F11" s="17" t="str">
        <f aca="false">IF(E11=0,"",SMALL('02 Scores'!F11:J11,COUNTIF('02 Scores'!F11:J11,0)+1))</f>
        <v/>
      </c>
      <c r="G11" s="17" t="str">
        <f aca="false">IF(E11=0,"",MAX('02 Scores'!F11:J11))</f>
        <v/>
      </c>
      <c r="H11" s="17" t="str">
        <f aca="false">IF(E11=0,"",G11-F11)</f>
        <v/>
      </c>
      <c r="I11" s="19" t="str">
        <f aca="false">IF(E11=0,"",AVERAGEIF('02 Scores'!F11:J11,"&gt;0"))</f>
        <v/>
      </c>
      <c r="J11" s="17" t="str">
        <f aca="false">IF(E11=0,"",ROUNDUP(I11-0.5,0))</f>
        <v/>
      </c>
      <c r="K11" s="6" t="str">
        <f aca="false">IF(OR(C11="",D11=0),"",IF(E11=0,"No evidence",IF(H11&gt;=3,"Contradiction",IF(H11=2,"Divergence","Agreement"))))</f>
        <v/>
      </c>
    </row>
    <row r="12" customFormat="false" ht="15" hidden="false" customHeight="true" outlineLevel="0" collapsed="false">
      <c r="A12" s="6" t="str">
        <f aca="false">"K1"&amp;IF('00 Setup'!B16="",""," · "&amp;'00 Setup'!B16)</f>
        <v>K1</v>
      </c>
      <c r="B12" s="7" t="s">
        <v>134</v>
      </c>
      <c r="C12" s="7" t="str">
        <f aca="false">IF('01 Rubric'!B13="","",'01 Rubric'!B13)</f>
        <v>Systems, data and reporting tooling</v>
      </c>
      <c r="D12" s="17" t="n">
        <f aca="false">COUNT('02 Scores'!F12:J12)</f>
        <v>0</v>
      </c>
      <c r="E12" s="17" t="n">
        <f aca="false">COUNTIF('02 Scores'!F12:J12,"&gt;0")</f>
        <v>0</v>
      </c>
      <c r="F12" s="17" t="str">
        <f aca="false">IF(E12=0,"",SMALL('02 Scores'!F12:J12,COUNTIF('02 Scores'!F12:J12,0)+1))</f>
        <v/>
      </c>
      <c r="G12" s="17" t="str">
        <f aca="false">IF(E12=0,"",MAX('02 Scores'!F12:J12))</f>
        <v/>
      </c>
      <c r="H12" s="17" t="str">
        <f aca="false">IF(E12=0,"",G12-F12)</f>
        <v/>
      </c>
      <c r="I12" s="19" t="str">
        <f aca="false">IF(E12=0,"",AVERAGEIF('02 Scores'!F12:J12,"&gt;0"))</f>
        <v/>
      </c>
      <c r="J12" s="17" t="str">
        <f aca="false">IF(E12=0,"",ROUNDUP(I12-0.5,0))</f>
        <v/>
      </c>
      <c r="K12" s="6" t="str">
        <f aca="false">IF(OR(C12="",D12=0),"",IF(E12=0,"No evidence",IF(H12&gt;=3,"Contradiction",IF(H12=2,"Divergence","Agreement"))))</f>
        <v/>
      </c>
    </row>
    <row r="13" customFormat="false" ht="15" hidden="false" customHeight="true" outlineLevel="0" collapsed="false">
      <c r="A13" s="6" t="str">
        <f aca="false">"K1"&amp;IF('00 Setup'!B16="",""," · "&amp;'00 Setup'!B16)</f>
        <v>K1</v>
      </c>
      <c r="B13" s="7" t="s">
        <v>139</v>
      </c>
      <c r="C13" s="7" t="str">
        <f aca="false">IF('01 Rubric'!B14="","",'01 Rubric'!B14)</f>
        <v>Team leadership and delegation</v>
      </c>
      <c r="D13" s="17" t="n">
        <f aca="false">COUNT('02 Scores'!F13:J13)</f>
        <v>0</v>
      </c>
      <c r="E13" s="17" t="n">
        <f aca="false">COUNTIF('02 Scores'!F13:J13,"&gt;0")</f>
        <v>0</v>
      </c>
      <c r="F13" s="17" t="str">
        <f aca="false">IF(E13=0,"",SMALL('02 Scores'!F13:J13,COUNTIF('02 Scores'!F13:J13,0)+1))</f>
        <v/>
      </c>
      <c r="G13" s="17" t="str">
        <f aca="false">IF(E13=0,"",MAX('02 Scores'!F13:J13))</f>
        <v/>
      </c>
      <c r="H13" s="17" t="str">
        <f aca="false">IF(E13=0,"",G13-F13)</f>
        <v/>
      </c>
      <c r="I13" s="19" t="str">
        <f aca="false">IF(E13=0,"",AVERAGEIF('02 Scores'!F13:J13,"&gt;0"))</f>
        <v/>
      </c>
      <c r="J13" s="17" t="str">
        <f aca="false">IF(E13=0,"",ROUNDUP(I13-0.5,0))</f>
        <v/>
      </c>
      <c r="K13" s="6" t="str">
        <f aca="false">IF(OR(C13="",D13=0),"",IF(E13=0,"No evidence",IF(H13&gt;=3,"Contradiction",IF(H13=2,"Divergence","Agreement"))))</f>
        <v/>
      </c>
    </row>
    <row r="14" customFormat="false" ht="15" hidden="false" customHeight="true" outlineLevel="0" collapsed="false">
      <c r="A14" s="6" t="str">
        <f aca="false">"K1"&amp;IF('00 Setup'!B16="",""," · "&amp;'00 Setup'!B16)</f>
        <v>K1</v>
      </c>
      <c r="B14" s="7" t="s">
        <v>144</v>
      </c>
      <c r="C14" s="7" t="str">
        <f aca="false">IF('01 Rubric'!B15="","",'01 Rubric'!B15)</f>
        <v>Stakeholder communication and reporting</v>
      </c>
      <c r="D14" s="17" t="n">
        <f aca="false">COUNT('02 Scores'!F14:J14)</f>
        <v>0</v>
      </c>
      <c r="E14" s="17" t="n">
        <f aca="false">COUNTIF('02 Scores'!F14:J14,"&gt;0")</f>
        <v>0</v>
      </c>
      <c r="F14" s="17" t="str">
        <f aca="false">IF(E14=0,"",SMALL('02 Scores'!F14:J14,COUNTIF('02 Scores'!F14:J14,0)+1))</f>
        <v/>
      </c>
      <c r="G14" s="17" t="str">
        <f aca="false">IF(E14=0,"",MAX('02 Scores'!F14:J14))</f>
        <v/>
      </c>
      <c r="H14" s="17" t="str">
        <f aca="false">IF(E14=0,"",G14-F14)</f>
        <v/>
      </c>
      <c r="I14" s="19" t="str">
        <f aca="false">IF(E14=0,"",AVERAGEIF('02 Scores'!F14:J14,"&gt;0"))</f>
        <v/>
      </c>
      <c r="J14" s="17" t="str">
        <f aca="false">IF(E14=0,"",ROUNDUP(I14-0.5,0))</f>
        <v/>
      </c>
      <c r="K14" s="6" t="str">
        <f aca="false">IF(OR(C14="",D14=0),"",IF(E14=0,"No evidence",IF(H14&gt;=3,"Contradiction",IF(H14=2,"Divergence","Agreement"))))</f>
        <v/>
      </c>
    </row>
    <row r="15" customFormat="false" ht="15" hidden="false" customHeight="true" outlineLevel="0" collapsed="false">
      <c r="A15" s="6" t="str">
        <f aca="false">"K1"&amp;IF('00 Setup'!B16="",""," · "&amp;'00 Setup'!B16)</f>
        <v>K1</v>
      </c>
      <c r="B15" s="7" t="s">
        <v>149</v>
      </c>
      <c r="C15" s="7" t="str">
        <f aca="false">IF('01 Rubric'!B16="","",'01 Rubric'!B16)</f>
        <v>Jurisdictional and regulatory exposure</v>
      </c>
      <c r="D15" s="17" t="n">
        <f aca="false">COUNT('02 Scores'!F15:J15)</f>
        <v>0</v>
      </c>
      <c r="E15" s="17" t="n">
        <f aca="false">COUNTIF('02 Scores'!F15:J15,"&gt;0")</f>
        <v>0</v>
      </c>
      <c r="F15" s="17" t="str">
        <f aca="false">IF(E15=0,"",SMALL('02 Scores'!F15:J15,COUNTIF('02 Scores'!F15:J15,0)+1))</f>
        <v/>
      </c>
      <c r="G15" s="17" t="str">
        <f aca="false">IF(E15=0,"",MAX('02 Scores'!F15:J15))</f>
        <v/>
      </c>
      <c r="H15" s="17" t="str">
        <f aca="false">IF(E15=0,"",G15-F15)</f>
        <v/>
      </c>
      <c r="I15" s="19" t="str">
        <f aca="false">IF(E15=0,"",AVERAGEIF('02 Scores'!F15:J15,"&gt;0"))</f>
        <v/>
      </c>
      <c r="J15" s="17" t="str">
        <f aca="false">IF(E15=0,"",ROUNDUP(I15-0.5,0))</f>
        <v/>
      </c>
      <c r="K15" s="6" t="str">
        <f aca="false">IF(OR(C15="",D15=0),"",IF(E15=0,"No evidence",IF(H15&gt;=3,"Contradiction",IF(H15=2,"Divergence","Agreement"))))</f>
        <v/>
      </c>
    </row>
    <row r="16" customFormat="false" ht="15" hidden="false" customHeight="true" outlineLevel="0" collapsed="false">
      <c r="A16" s="6" t="str">
        <f aca="false">"K2"&amp;IF('00 Setup'!B17="",""," · "&amp;'00 Setup'!B17)</f>
        <v>K2</v>
      </c>
      <c r="B16" s="7" t="s">
        <v>107</v>
      </c>
      <c r="C16" s="7" t="str">
        <f aca="false">IF('01 Rubric'!B8="","",'01 Rubric'!B8)</f>
        <v>Technical accounting and IFRS application</v>
      </c>
      <c r="D16" s="17" t="n">
        <f aca="false">COUNT('02 Scores'!F16:J16)</f>
        <v>0</v>
      </c>
      <c r="E16" s="17" t="n">
        <f aca="false">COUNTIF('02 Scores'!F16:J16,"&gt;0")</f>
        <v>0</v>
      </c>
      <c r="F16" s="17" t="str">
        <f aca="false">IF(E16=0,"",SMALL('02 Scores'!F16:J16,COUNTIF('02 Scores'!F16:J16,0)+1))</f>
        <v/>
      </c>
      <c r="G16" s="17" t="str">
        <f aca="false">IF(E16=0,"",MAX('02 Scores'!F16:J16))</f>
        <v/>
      </c>
      <c r="H16" s="17" t="str">
        <f aca="false">IF(E16=0,"",G16-F16)</f>
        <v/>
      </c>
      <c r="I16" s="19" t="str">
        <f aca="false">IF(E16=0,"",AVERAGEIF('02 Scores'!F16:J16,"&gt;0"))</f>
        <v/>
      </c>
      <c r="J16" s="17" t="str">
        <f aca="false">IF(E16=0,"",ROUNDUP(I16-0.5,0))</f>
        <v/>
      </c>
      <c r="K16" s="6" t="str">
        <f aca="false">IF(OR(C16="",D16=0),"",IF(E16=0,"No evidence",IF(H16&gt;=3,"Contradiction",IF(H16=2,"Divergence","Agreement"))))</f>
        <v/>
      </c>
    </row>
    <row r="17" customFormat="false" ht="15" hidden="false" customHeight="true" outlineLevel="0" collapsed="false">
      <c r="A17" s="6" t="str">
        <f aca="false">"K2"&amp;IF('00 Setup'!B17="",""," · "&amp;'00 Setup'!B17)</f>
        <v>K2</v>
      </c>
      <c r="B17" s="7" t="s">
        <v>113</v>
      </c>
      <c r="C17" s="7" t="str">
        <f aca="false">IF('01 Rubric'!B9="","",'01 Rubric'!B9)</f>
        <v>Financial reporting and close ownership</v>
      </c>
      <c r="D17" s="17" t="n">
        <f aca="false">COUNT('02 Scores'!F17:J17)</f>
        <v>0</v>
      </c>
      <c r="E17" s="17" t="n">
        <f aca="false">COUNTIF('02 Scores'!F17:J17,"&gt;0")</f>
        <v>0</v>
      </c>
      <c r="F17" s="17" t="str">
        <f aca="false">IF(E17=0,"",SMALL('02 Scores'!F17:J17,COUNTIF('02 Scores'!F17:J17,0)+1))</f>
        <v/>
      </c>
      <c r="G17" s="17" t="str">
        <f aca="false">IF(E17=0,"",MAX('02 Scores'!F17:J17))</f>
        <v/>
      </c>
      <c r="H17" s="17" t="str">
        <f aca="false">IF(E17=0,"",G17-F17)</f>
        <v/>
      </c>
      <c r="I17" s="19" t="str">
        <f aca="false">IF(E17=0,"",AVERAGEIF('02 Scores'!F17:J17,"&gt;0"))</f>
        <v/>
      </c>
      <c r="J17" s="17" t="str">
        <f aca="false">IF(E17=0,"",ROUNDUP(I17-0.5,0))</f>
        <v/>
      </c>
      <c r="K17" s="6" t="str">
        <f aca="false">IF(OR(C17="",D17=0),"",IF(E17=0,"No evidence",IF(H17&gt;=3,"Contradiction",IF(H17=2,"Divergence","Agreement"))))</f>
        <v/>
      </c>
    </row>
    <row r="18" customFormat="false" ht="15" hidden="false" customHeight="true" outlineLevel="0" collapsed="false">
      <c r="A18" s="6" t="str">
        <f aca="false">"K2"&amp;IF('00 Setup'!B17="",""," · "&amp;'00 Setup'!B17)</f>
        <v>K2</v>
      </c>
      <c r="B18" s="7" t="s">
        <v>118</v>
      </c>
      <c r="C18" s="7" t="str">
        <f aca="false">IF('01 Rubric'!B10="","",'01 Rubric'!B10)</f>
        <v>Controls, compliance and audit readiness</v>
      </c>
      <c r="D18" s="17" t="n">
        <f aca="false">COUNT('02 Scores'!F18:J18)</f>
        <v>0</v>
      </c>
      <c r="E18" s="17" t="n">
        <f aca="false">COUNTIF('02 Scores'!F18:J18,"&gt;0")</f>
        <v>0</v>
      </c>
      <c r="F18" s="17" t="str">
        <f aca="false">IF(E18=0,"",SMALL('02 Scores'!F18:J18,COUNTIF('02 Scores'!F18:J18,0)+1))</f>
        <v/>
      </c>
      <c r="G18" s="17" t="str">
        <f aca="false">IF(E18=0,"",MAX('02 Scores'!F18:J18))</f>
        <v/>
      </c>
      <c r="H18" s="17" t="str">
        <f aca="false">IF(E18=0,"",G18-F18)</f>
        <v/>
      </c>
      <c r="I18" s="19" t="str">
        <f aca="false">IF(E18=0,"",AVERAGEIF('02 Scores'!F18:J18,"&gt;0"))</f>
        <v/>
      </c>
      <c r="J18" s="17" t="str">
        <f aca="false">IF(E18=0,"",ROUNDUP(I18-0.5,0))</f>
        <v/>
      </c>
      <c r="K18" s="6" t="str">
        <f aca="false">IF(OR(C18="",D18=0),"",IF(E18=0,"No evidence",IF(H18&gt;=3,"Contradiction",IF(H18=2,"Divergence","Agreement"))))</f>
        <v/>
      </c>
    </row>
    <row r="19" customFormat="false" ht="15" hidden="false" customHeight="true" outlineLevel="0" collapsed="false">
      <c r="A19" s="6" t="str">
        <f aca="false">"K2"&amp;IF('00 Setup'!B17="",""," · "&amp;'00 Setup'!B17)</f>
        <v>K2</v>
      </c>
      <c r="B19" s="7" t="s">
        <v>123</v>
      </c>
      <c r="C19" s="7" t="str">
        <f aca="false">IF('01 Rubric'!B11="","",'01 Rubric'!B11)</f>
        <v>Planning, budgeting and forecasting</v>
      </c>
      <c r="D19" s="17" t="n">
        <f aca="false">COUNT('02 Scores'!F19:J19)</f>
        <v>0</v>
      </c>
      <c r="E19" s="17" t="n">
        <f aca="false">COUNTIF('02 Scores'!F19:J19,"&gt;0")</f>
        <v>0</v>
      </c>
      <c r="F19" s="17" t="str">
        <f aca="false">IF(E19=0,"",SMALL('02 Scores'!F19:J19,COUNTIF('02 Scores'!F19:J19,0)+1))</f>
        <v/>
      </c>
      <c r="G19" s="17" t="str">
        <f aca="false">IF(E19=0,"",MAX('02 Scores'!F19:J19))</f>
        <v/>
      </c>
      <c r="H19" s="17" t="str">
        <f aca="false">IF(E19=0,"",G19-F19)</f>
        <v/>
      </c>
      <c r="I19" s="19" t="str">
        <f aca="false">IF(E19=0,"",AVERAGEIF('02 Scores'!F19:J19,"&gt;0"))</f>
        <v/>
      </c>
      <c r="J19" s="17" t="str">
        <f aca="false">IF(E19=0,"",ROUNDUP(I19-0.5,0))</f>
        <v/>
      </c>
      <c r="K19" s="6" t="str">
        <f aca="false">IF(OR(C19="",D19=0),"",IF(E19=0,"No evidence",IF(H19&gt;=3,"Contradiction",IF(H19=2,"Divergence","Agreement"))))</f>
        <v/>
      </c>
    </row>
    <row r="20" customFormat="false" ht="15" hidden="false" customHeight="true" outlineLevel="0" collapsed="false">
      <c r="A20" s="6" t="str">
        <f aca="false">"K2"&amp;IF('00 Setup'!B17="",""," · "&amp;'00 Setup'!B17)</f>
        <v>K2</v>
      </c>
      <c r="B20" s="7" t="s">
        <v>128</v>
      </c>
      <c r="C20" s="7" t="str">
        <f aca="false">IF('01 Rubric'!B12="","",'01 Rubric'!B12)</f>
        <v>Cash, treasury and working capital</v>
      </c>
      <c r="D20" s="17" t="n">
        <f aca="false">COUNT('02 Scores'!F20:J20)</f>
        <v>0</v>
      </c>
      <c r="E20" s="17" t="n">
        <f aca="false">COUNTIF('02 Scores'!F20:J20,"&gt;0")</f>
        <v>0</v>
      </c>
      <c r="F20" s="17" t="str">
        <f aca="false">IF(E20=0,"",SMALL('02 Scores'!F20:J20,COUNTIF('02 Scores'!F20:J20,0)+1))</f>
        <v/>
      </c>
      <c r="G20" s="17" t="str">
        <f aca="false">IF(E20=0,"",MAX('02 Scores'!F20:J20))</f>
        <v/>
      </c>
      <c r="H20" s="17" t="str">
        <f aca="false">IF(E20=0,"",G20-F20)</f>
        <v/>
      </c>
      <c r="I20" s="19" t="str">
        <f aca="false">IF(E20=0,"",AVERAGEIF('02 Scores'!F20:J20,"&gt;0"))</f>
        <v/>
      </c>
      <c r="J20" s="17" t="str">
        <f aca="false">IF(E20=0,"",ROUNDUP(I20-0.5,0))</f>
        <v/>
      </c>
      <c r="K20" s="6" t="str">
        <f aca="false">IF(OR(C20="",D20=0),"",IF(E20=0,"No evidence",IF(H20&gt;=3,"Contradiction",IF(H20=2,"Divergence","Agreement"))))</f>
        <v/>
      </c>
    </row>
    <row r="21" customFormat="false" ht="15" hidden="false" customHeight="true" outlineLevel="0" collapsed="false">
      <c r="A21" s="6" t="str">
        <f aca="false">"K2"&amp;IF('00 Setup'!B17="",""," · "&amp;'00 Setup'!B17)</f>
        <v>K2</v>
      </c>
      <c r="B21" s="7" t="s">
        <v>134</v>
      </c>
      <c r="C21" s="7" t="str">
        <f aca="false">IF('01 Rubric'!B13="","",'01 Rubric'!B13)</f>
        <v>Systems, data and reporting tooling</v>
      </c>
      <c r="D21" s="17" t="n">
        <f aca="false">COUNT('02 Scores'!F21:J21)</f>
        <v>0</v>
      </c>
      <c r="E21" s="17" t="n">
        <f aca="false">COUNTIF('02 Scores'!F21:J21,"&gt;0")</f>
        <v>0</v>
      </c>
      <c r="F21" s="17" t="str">
        <f aca="false">IF(E21=0,"",SMALL('02 Scores'!F21:J21,COUNTIF('02 Scores'!F21:J21,0)+1))</f>
        <v/>
      </c>
      <c r="G21" s="17" t="str">
        <f aca="false">IF(E21=0,"",MAX('02 Scores'!F21:J21))</f>
        <v/>
      </c>
      <c r="H21" s="17" t="str">
        <f aca="false">IF(E21=0,"",G21-F21)</f>
        <v/>
      </c>
      <c r="I21" s="19" t="str">
        <f aca="false">IF(E21=0,"",AVERAGEIF('02 Scores'!F21:J21,"&gt;0"))</f>
        <v/>
      </c>
      <c r="J21" s="17" t="str">
        <f aca="false">IF(E21=0,"",ROUNDUP(I21-0.5,0))</f>
        <v/>
      </c>
      <c r="K21" s="6" t="str">
        <f aca="false">IF(OR(C21="",D21=0),"",IF(E21=0,"No evidence",IF(H21&gt;=3,"Contradiction",IF(H21=2,"Divergence","Agreement"))))</f>
        <v/>
      </c>
    </row>
    <row r="22" customFormat="false" ht="15" hidden="false" customHeight="true" outlineLevel="0" collapsed="false">
      <c r="A22" s="6" t="str">
        <f aca="false">"K2"&amp;IF('00 Setup'!B17="",""," · "&amp;'00 Setup'!B17)</f>
        <v>K2</v>
      </c>
      <c r="B22" s="7" t="s">
        <v>139</v>
      </c>
      <c r="C22" s="7" t="str">
        <f aca="false">IF('01 Rubric'!B14="","",'01 Rubric'!B14)</f>
        <v>Team leadership and delegation</v>
      </c>
      <c r="D22" s="17" t="n">
        <f aca="false">COUNT('02 Scores'!F22:J22)</f>
        <v>0</v>
      </c>
      <c r="E22" s="17" t="n">
        <f aca="false">COUNTIF('02 Scores'!F22:J22,"&gt;0")</f>
        <v>0</v>
      </c>
      <c r="F22" s="17" t="str">
        <f aca="false">IF(E22=0,"",SMALL('02 Scores'!F22:J22,COUNTIF('02 Scores'!F22:J22,0)+1))</f>
        <v/>
      </c>
      <c r="G22" s="17" t="str">
        <f aca="false">IF(E22=0,"",MAX('02 Scores'!F22:J22))</f>
        <v/>
      </c>
      <c r="H22" s="17" t="str">
        <f aca="false">IF(E22=0,"",G22-F22)</f>
        <v/>
      </c>
      <c r="I22" s="19" t="str">
        <f aca="false">IF(E22=0,"",AVERAGEIF('02 Scores'!F22:J22,"&gt;0"))</f>
        <v/>
      </c>
      <c r="J22" s="17" t="str">
        <f aca="false">IF(E22=0,"",ROUNDUP(I22-0.5,0))</f>
        <v/>
      </c>
      <c r="K22" s="6" t="str">
        <f aca="false">IF(OR(C22="",D22=0),"",IF(E22=0,"No evidence",IF(H22&gt;=3,"Contradiction",IF(H22=2,"Divergence","Agreement"))))</f>
        <v/>
      </c>
    </row>
    <row r="23" customFormat="false" ht="15" hidden="false" customHeight="true" outlineLevel="0" collapsed="false">
      <c r="A23" s="6" t="str">
        <f aca="false">"K2"&amp;IF('00 Setup'!B17="",""," · "&amp;'00 Setup'!B17)</f>
        <v>K2</v>
      </c>
      <c r="B23" s="7" t="s">
        <v>144</v>
      </c>
      <c r="C23" s="7" t="str">
        <f aca="false">IF('01 Rubric'!B15="","",'01 Rubric'!B15)</f>
        <v>Stakeholder communication and reporting</v>
      </c>
      <c r="D23" s="17" t="n">
        <f aca="false">COUNT('02 Scores'!F23:J23)</f>
        <v>0</v>
      </c>
      <c r="E23" s="17" t="n">
        <f aca="false">COUNTIF('02 Scores'!F23:J23,"&gt;0")</f>
        <v>0</v>
      </c>
      <c r="F23" s="17" t="str">
        <f aca="false">IF(E23=0,"",SMALL('02 Scores'!F23:J23,COUNTIF('02 Scores'!F23:J23,0)+1))</f>
        <v/>
      </c>
      <c r="G23" s="17" t="str">
        <f aca="false">IF(E23=0,"",MAX('02 Scores'!F23:J23))</f>
        <v/>
      </c>
      <c r="H23" s="17" t="str">
        <f aca="false">IF(E23=0,"",G23-F23)</f>
        <v/>
      </c>
      <c r="I23" s="19" t="str">
        <f aca="false">IF(E23=0,"",AVERAGEIF('02 Scores'!F23:J23,"&gt;0"))</f>
        <v/>
      </c>
      <c r="J23" s="17" t="str">
        <f aca="false">IF(E23=0,"",ROUNDUP(I23-0.5,0))</f>
        <v/>
      </c>
      <c r="K23" s="6" t="str">
        <f aca="false">IF(OR(C23="",D23=0),"",IF(E23=0,"No evidence",IF(H23&gt;=3,"Contradiction",IF(H23=2,"Divergence","Agreement"))))</f>
        <v/>
      </c>
    </row>
    <row r="24" customFormat="false" ht="15" hidden="false" customHeight="true" outlineLevel="0" collapsed="false">
      <c r="A24" s="6" t="str">
        <f aca="false">"K2"&amp;IF('00 Setup'!B17="",""," · "&amp;'00 Setup'!B17)</f>
        <v>K2</v>
      </c>
      <c r="B24" s="7" t="s">
        <v>149</v>
      </c>
      <c r="C24" s="7" t="str">
        <f aca="false">IF('01 Rubric'!B16="","",'01 Rubric'!B16)</f>
        <v>Jurisdictional and regulatory exposure</v>
      </c>
      <c r="D24" s="17" t="n">
        <f aca="false">COUNT('02 Scores'!F24:J24)</f>
        <v>0</v>
      </c>
      <c r="E24" s="17" t="n">
        <f aca="false">COUNTIF('02 Scores'!F24:J24,"&gt;0")</f>
        <v>0</v>
      </c>
      <c r="F24" s="17" t="str">
        <f aca="false">IF(E24=0,"",SMALL('02 Scores'!F24:J24,COUNTIF('02 Scores'!F24:J24,0)+1))</f>
        <v/>
      </c>
      <c r="G24" s="17" t="str">
        <f aca="false">IF(E24=0,"",MAX('02 Scores'!F24:J24))</f>
        <v/>
      </c>
      <c r="H24" s="17" t="str">
        <f aca="false">IF(E24=0,"",G24-F24)</f>
        <v/>
      </c>
      <c r="I24" s="19" t="str">
        <f aca="false">IF(E24=0,"",AVERAGEIF('02 Scores'!F24:J24,"&gt;0"))</f>
        <v/>
      </c>
      <c r="J24" s="17" t="str">
        <f aca="false">IF(E24=0,"",ROUNDUP(I24-0.5,0))</f>
        <v/>
      </c>
      <c r="K24" s="6" t="str">
        <f aca="false">IF(OR(C24="",D24=0),"",IF(E24=0,"No evidence",IF(H24&gt;=3,"Contradiction",IF(H24=2,"Divergence","Agreement"))))</f>
        <v/>
      </c>
    </row>
    <row r="25" customFormat="false" ht="15" hidden="false" customHeight="true" outlineLevel="0" collapsed="false">
      <c r="A25" s="6" t="str">
        <f aca="false">"K3"&amp;IF('00 Setup'!B18="",""," · "&amp;'00 Setup'!B18)</f>
        <v>K3</v>
      </c>
      <c r="B25" s="7" t="s">
        <v>107</v>
      </c>
      <c r="C25" s="7" t="str">
        <f aca="false">IF('01 Rubric'!B8="","",'01 Rubric'!B8)</f>
        <v>Technical accounting and IFRS application</v>
      </c>
      <c r="D25" s="17" t="n">
        <f aca="false">COUNT('02 Scores'!F25:J25)</f>
        <v>0</v>
      </c>
      <c r="E25" s="17" t="n">
        <f aca="false">COUNTIF('02 Scores'!F25:J25,"&gt;0")</f>
        <v>0</v>
      </c>
      <c r="F25" s="17" t="str">
        <f aca="false">IF(E25=0,"",SMALL('02 Scores'!F25:J25,COUNTIF('02 Scores'!F25:J25,0)+1))</f>
        <v/>
      </c>
      <c r="G25" s="17" t="str">
        <f aca="false">IF(E25=0,"",MAX('02 Scores'!F25:J25))</f>
        <v/>
      </c>
      <c r="H25" s="17" t="str">
        <f aca="false">IF(E25=0,"",G25-F25)</f>
        <v/>
      </c>
      <c r="I25" s="19" t="str">
        <f aca="false">IF(E25=0,"",AVERAGEIF('02 Scores'!F25:J25,"&gt;0"))</f>
        <v/>
      </c>
      <c r="J25" s="17" t="str">
        <f aca="false">IF(E25=0,"",ROUNDUP(I25-0.5,0))</f>
        <v/>
      </c>
      <c r="K25" s="6" t="str">
        <f aca="false">IF(OR(C25="",D25=0),"",IF(E25=0,"No evidence",IF(H25&gt;=3,"Contradiction",IF(H25=2,"Divergence","Agreement"))))</f>
        <v/>
      </c>
    </row>
    <row r="26" customFormat="false" ht="15" hidden="false" customHeight="true" outlineLevel="0" collapsed="false">
      <c r="A26" s="6" t="str">
        <f aca="false">"K3"&amp;IF('00 Setup'!B18="",""," · "&amp;'00 Setup'!B18)</f>
        <v>K3</v>
      </c>
      <c r="B26" s="7" t="s">
        <v>113</v>
      </c>
      <c r="C26" s="7" t="str">
        <f aca="false">IF('01 Rubric'!B9="","",'01 Rubric'!B9)</f>
        <v>Financial reporting and close ownership</v>
      </c>
      <c r="D26" s="17" t="n">
        <f aca="false">COUNT('02 Scores'!F26:J26)</f>
        <v>0</v>
      </c>
      <c r="E26" s="17" t="n">
        <f aca="false">COUNTIF('02 Scores'!F26:J26,"&gt;0")</f>
        <v>0</v>
      </c>
      <c r="F26" s="17" t="str">
        <f aca="false">IF(E26=0,"",SMALL('02 Scores'!F26:J26,COUNTIF('02 Scores'!F26:J26,0)+1))</f>
        <v/>
      </c>
      <c r="G26" s="17" t="str">
        <f aca="false">IF(E26=0,"",MAX('02 Scores'!F26:J26))</f>
        <v/>
      </c>
      <c r="H26" s="17" t="str">
        <f aca="false">IF(E26=0,"",G26-F26)</f>
        <v/>
      </c>
      <c r="I26" s="19" t="str">
        <f aca="false">IF(E26=0,"",AVERAGEIF('02 Scores'!F26:J26,"&gt;0"))</f>
        <v/>
      </c>
      <c r="J26" s="17" t="str">
        <f aca="false">IF(E26=0,"",ROUNDUP(I26-0.5,0))</f>
        <v/>
      </c>
      <c r="K26" s="6" t="str">
        <f aca="false">IF(OR(C26="",D26=0),"",IF(E26=0,"No evidence",IF(H26&gt;=3,"Contradiction",IF(H26=2,"Divergence","Agreement"))))</f>
        <v/>
      </c>
    </row>
    <row r="27" customFormat="false" ht="15" hidden="false" customHeight="true" outlineLevel="0" collapsed="false">
      <c r="A27" s="6" t="str">
        <f aca="false">"K3"&amp;IF('00 Setup'!B18="",""," · "&amp;'00 Setup'!B18)</f>
        <v>K3</v>
      </c>
      <c r="B27" s="7" t="s">
        <v>118</v>
      </c>
      <c r="C27" s="7" t="str">
        <f aca="false">IF('01 Rubric'!B10="","",'01 Rubric'!B10)</f>
        <v>Controls, compliance and audit readiness</v>
      </c>
      <c r="D27" s="17" t="n">
        <f aca="false">COUNT('02 Scores'!F27:J27)</f>
        <v>0</v>
      </c>
      <c r="E27" s="17" t="n">
        <f aca="false">COUNTIF('02 Scores'!F27:J27,"&gt;0")</f>
        <v>0</v>
      </c>
      <c r="F27" s="17" t="str">
        <f aca="false">IF(E27=0,"",SMALL('02 Scores'!F27:J27,COUNTIF('02 Scores'!F27:J27,0)+1))</f>
        <v/>
      </c>
      <c r="G27" s="17" t="str">
        <f aca="false">IF(E27=0,"",MAX('02 Scores'!F27:J27))</f>
        <v/>
      </c>
      <c r="H27" s="17" t="str">
        <f aca="false">IF(E27=0,"",G27-F27)</f>
        <v/>
      </c>
      <c r="I27" s="19" t="str">
        <f aca="false">IF(E27=0,"",AVERAGEIF('02 Scores'!F27:J27,"&gt;0"))</f>
        <v/>
      </c>
      <c r="J27" s="17" t="str">
        <f aca="false">IF(E27=0,"",ROUNDUP(I27-0.5,0))</f>
        <v/>
      </c>
      <c r="K27" s="6" t="str">
        <f aca="false">IF(OR(C27="",D27=0),"",IF(E27=0,"No evidence",IF(H27&gt;=3,"Contradiction",IF(H27=2,"Divergence","Agreement"))))</f>
        <v/>
      </c>
    </row>
    <row r="28" customFormat="false" ht="15" hidden="false" customHeight="true" outlineLevel="0" collapsed="false">
      <c r="A28" s="6" t="str">
        <f aca="false">"K3"&amp;IF('00 Setup'!B18="",""," · "&amp;'00 Setup'!B18)</f>
        <v>K3</v>
      </c>
      <c r="B28" s="7" t="s">
        <v>123</v>
      </c>
      <c r="C28" s="7" t="str">
        <f aca="false">IF('01 Rubric'!B11="","",'01 Rubric'!B11)</f>
        <v>Planning, budgeting and forecasting</v>
      </c>
      <c r="D28" s="17" t="n">
        <f aca="false">COUNT('02 Scores'!F28:J28)</f>
        <v>0</v>
      </c>
      <c r="E28" s="17" t="n">
        <f aca="false">COUNTIF('02 Scores'!F28:J28,"&gt;0")</f>
        <v>0</v>
      </c>
      <c r="F28" s="17" t="str">
        <f aca="false">IF(E28=0,"",SMALL('02 Scores'!F28:J28,COUNTIF('02 Scores'!F28:J28,0)+1))</f>
        <v/>
      </c>
      <c r="G28" s="17" t="str">
        <f aca="false">IF(E28=0,"",MAX('02 Scores'!F28:J28))</f>
        <v/>
      </c>
      <c r="H28" s="17" t="str">
        <f aca="false">IF(E28=0,"",G28-F28)</f>
        <v/>
      </c>
      <c r="I28" s="19" t="str">
        <f aca="false">IF(E28=0,"",AVERAGEIF('02 Scores'!F28:J28,"&gt;0"))</f>
        <v/>
      </c>
      <c r="J28" s="17" t="str">
        <f aca="false">IF(E28=0,"",ROUNDUP(I28-0.5,0))</f>
        <v/>
      </c>
      <c r="K28" s="6" t="str">
        <f aca="false">IF(OR(C28="",D28=0),"",IF(E28=0,"No evidence",IF(H28&gt;=3,"Contradiction",IF(H28=2,"Divergence","Agreement"))))</f>
        <v/>
      </c>
    </row>
    <row r="29" customFormat="false" ht="15" hidden="false" customHeight="true" outlineLevel="0" collapsed="false">
      <c r="A29" s="6" t="str">
        <f aca="false">"K3"&amp;IF('00 Setup'!B18="",""," · "&amp;'00 Setup'!B18)</f>
        <v>K3</v>
      </c>
      <c r="B29" s="7" t="s">
        <v>128</v>
      </c>
      <c r="C29" s="7" t="str">
        <f aca="false">IF('01 Rubric'!B12="","",'01 Rubric'!B12)</f>
        <v>Cash, treasury and working capital</v>
      </c>
      <c r="D29" s="17" t="n">
        <f aca="false">COUNT('02 Scores'!F29:J29)</f>
        <v>0</v>
      </c>
      <c r="E29" s="17" t="n">
        <f aca="false">COUNTIF('02 Scores'!F29:J29,"&gt;0")</f>
        <v>0</v>
      </c>
      <c r="F29" s="17" t="str">
        <f aca="false">IF(E29=0,"",SMALL('02 Scores'!F29:J29,COUNTIF('02 Scores'!F29:J29,0)+1))</f>
        <v/>
      </c>
      <c r="G29" s="17" t="str">
        <f aca="false">IF(E29=0,"",MAX('02 Scores'!F29:J29))</f>
        <v/>
      </c>
      <c r="H29" s="17" t="str">
        <f aca="false">IF(E29=0,"",G29-F29)</f>
        <v/>
      </c>
      <c r="I29" s="19" t="str">
        <f aca="false">IF(E29=0,"",AVERAGEIF('02 Scores'!F29:J29,"&gt;0"))</f>
        <v/>
      </c>
      <c r="J29" s="17" t="str">
        <f aca="false">IF(E29=0,"",ROUNDUP(I29-0.5,0))</f>
        <v/>
      </c>
      <c r="K29" s="6" t="str">
        <f aca="false">IF(OR(C29="",D29=0),"",IF(E29=0,"No evidence",IF(H29&gt;=3,"Contradiction",IF(H29=2,"Divergence","Agreement"))))</f>
        <v/>
      </c>
    </row>
    <row r="30" customFormat="false" ht="15" hidden="false" customHeight="true" outlineLevel="0" collapsed="false">
      <c r="A30" s="6" t="str">
        <f aca="false">"K3"&amp;IF('00 Setup'!B18="",""," · "&amp;'00 Setup'!B18)</f>
        <v>K3</v>
      </c>
      <c r="B30" s="7" t="s">
        <v>134</v>
      </c>
      <c r="C30" s="7" t="str">
        <f aca="false">IF('01 Rubric'!B13="","",'01 Rubric'!B13)</f>
        <v>Systems, data and reporting tooling</v>
      </c>
      <c r="D30" s="17" t="n">
        <f aca="false">COUNT('02 Scores'!F30:J30)</f>
        <v>0</v>
      </c>
      <c r="E30" s="17" t="n">
        <f aca="false">COUNTIF('02 Scores'!F30:J30,"&gt;0")</f>
        <v>0</v>
      </c>
      <c r="F30" s="17" t="str">
        <f aca="false">IF(E30=0,"",SMALL('02 Scores'!F30:J30,COUNTIF('02 Scores'!F30:J30,0)+1))</f>
        <v/>
      </c>
      <c r="G30" s="17" t="str">
        <f aca="false">IF(E30=0,"",MAX('02 Scores'!F30:J30))</f>
        <v/>
      </c>
      <c r="H30" s="17" t="str">
        <f aca="false">IF(E30=0,"",G30-F30)</f>
        <v/>
      </c>
      <c r="I30" s="19" t="str">
        <f aca="false">IF(E30=0,"",AVERAGEIF('02 Scores'!F30:J30,"&gt;0"))</f>
        <v/>
      </c>
      <c r="J30" s="17" t="str">
        <f aca="false">IF(E30=0,"",ROUNDUP(I30-0.5,0))</f>
        <v/>
      </c>
      <c r="K30" s="6" t="str">
        <f aca="false">IF(OR(C30="",D30=0),"",IF(E30=0,"No evidence",IF(H30&gt;=3,"Contradiction",IF(H30=2,"Divergence","Agreement"))))</f>
        <v/>
      </c>
    </row>
    <row r="31" customFormat="false" ht="15" hidden="false" customHeight="true" outlineLevel="0" collapsed="false">
      <c r="A31" s="6" t="str">
        <f aca="false">"K3"&amp;IF('00 Setup'!B18="",""," · "&amp;'00 Setup'!B18)</f>
        <v>K3</v>
      </c>
      <c r="B31" s="7" t="s">
        <v>139</v>
      </c>
      <c r="C31" s="7" t="str">
        <f aca="false">IF('01 Rubric'!B14="","",'01 Rubric'!B14)</f>
        <v>Team leadership and delegation</v>
      </c>
      <c r="D31" s="17" t="n">
        <f aca="false">COUNT('02 Scores'!F31:J31)</f>
        <v>0</v>
      </c>
      <c r="E31" s="17" t="n">
        <f aca="false">COUNTIF('02 Scores'!F31:J31,"&gt;0")</f>
        <v>0</v>
      </c>
      <c r="F31" s="17" t="str">
        <f aca="false">IF(E31=0,"",SMALL('02 Scores'!F31:J31,COUNTIF('02 Scores'!F31:J31,0)+1))</f>
        <v/>
      </c>
      <c r="G31" s="17" t="str">
        <f aca="false">IF(E31=0,"",MAX('02 Scores'!F31:J31))</f>
        <v/>
      </c>
      <c r="H31" s="17" t="str">
        <f aca="false">IF(E31=0,"",G31-F31)</f>
        <v/>
      </c>
      <c r="I31" s="19" t="str">
        <f aca="false">IF(E31=0,"",AVERAGEIF('02 Scores'!F31:J31,"&gt;0"))</f>
        <v/>
      </c>
      <c r="J31" s="17" t="str">
        <f aca="false">IF(E31=0,"",ROUNDUP(I31-0.5,0))</f>
        <v/>
      </c>
      <c r="K31" s="6" t="str">
        <f aca="false">IF(OR(C31="",D31=0),"",IF(E31=0,"No evidence",IF(H31&gt;=3,"Contradiction",IF(H31=2,"Divergence","Agreement"))))</f>
        <v/>
      </c>
    </row>
    <row r="32" customFormat="false" ht="15" hidden="false" customHeight="true" outlineLevel="0" collapsed="false">
      <c r="A32" s="6" t="str">
        <f aca="false">"K3"&amp;IF('00 Setup'!B18="",""," · "&amp;'00 Setup'!B18)</f>
        <v>K3</v>
      </c>
      <c r="B32" s="7" t="s">
        <v>144</v>
      </c>
      <c r="C32" s="7" t="str">
        <f aca="false">IF('01 Rubric'!B15="","",'01 Rubric'!B15)</f>
        <v>Stakeholder communication and reporting</v>
      </c>
      <c r="D32" s="17" t="n">
        <f aca="false">COUNT('02 Scores'!F32:J32)</f>
        <v>0</v>
      </c>
      <c r="E32" s="17" t="n">
        <f aca="false">COUNTIF('02 Scores'!F32:J32,"&gt;0")</f>
        <v>0</v>
      </c>
      <c r="F32" s="17" t="str">
        <f aca="false">IF(E32=0,"",SMALL('02 Scores'!F32:J32,COUNTIF('02 Scores'!F32:J32,0)+1))</f>
        <v/>
      </c>
      <c r="G32" s="17" t="str">
        <f aca="false">IF(E32=0,"",MAX('02 Scores'!F32:J32))</f>
        <v/>
      </c>
      <c r="H32" s="17" t="str">
        <f aca="false">IF(E32=0,"",G32-F32)</f>
        <v/>
      </c>
      <c r="I32" s="19" t="str">
        <f aca="false">IF(E32=0,"",AVERAGEIF('02 Scores'!F32:J32,"&gt;0"))</f>
        <v/>
      </c>
      <c r="J32" s="17" t="str">
        <f aca="false">IF(E32=0,"",ROUNDUP(I32-0.5,0))</f>
        <v/>
      </c>
      <c r="K32" s="6" t="str">
        <f aca="false">IF(OR(C32="",D32=0),"",IF(E32=0,"No evidence",IF(H32&gt;=3,"Contradiction",IF(H32=2,"Divergence","Agreement"))))</f>
        <v/>
      </c>
    </row>
    <row r="33" customFormat="false" ht="15" hidden="false" customHeight="true" outlineLevel="0" collapsed="false">
      <c r="A33" s="6" t="str">
        <f aca="false">"K3"&amp;IF('00 Setup'!B18="",""," · "&amp;'00 Setup'!B18)</f>
        <v>K3</v>
      </c>
      <c r="B33" s="7" t="s">
        <v>149</v>
      </c>
      <c r="C33" s="7" t="str">
        <f aca="false">IF('01 Rubric'!B16="","",'01 Rubric'!B16)</f>
        <v>Jurisdictional and regulatory exposure</v>
      </c>
      <c r="D33" s="17" t="n">
        <f aca="false">COUNT('02 Scores'!F33:J33)</f>
        <v>0</v>
      </c>
      <c r="E33" s="17" t="n">
        <f aca="false">COUNTIF('02 Scores'!F33:J33,"&gt;0")</f>
        <v>0</v>
      </c>
      <c r="F33" s="17" t="str">
        <f aca="false">IF(E33=0,"",SMALL('02 Scores'!F33:J33,COUNTIF('02 Scores'!F33:J33,0)+1))</f>
        <v/>
      </c>
      <c r="G33" s="17" t="str">
        <f aca="false">IF(E33=0,"",MAX('02 Scores'!F33:J33))</f>
        <v/>
      </c>
      <c r="H33" s="17" t="str">
        <f aca="false">IF(E33=0,"",G33-F33)</f>
        <v/>
      </c>
      <c r="I33" s="19" t="str">
        <f aca="false">IF(E33=0,"",AVERAGEIF('02 Scores'!F33:J33,"&gt;0"))</f>
        <v/>
      </c>
      <c r="J33" s="17" t="str">
        <f aca="false">IF(E33=0,"",ROUNDUP(I33-0.5,0))</f>
        <v/>
      </c>
      <c r="K33" s="6" t="str">
        <f aca="false">IF(OR(C33="",D33=0),"",IF(E33=0,"No evidence",IF(H33&gt;=3,"Contradiction",IF(H33=2,"Divergence","Agreement"))))</f>
        <v/>
      </c>
    </row>
    <row r="34" customFormat="false" ht="15" hidden="false" customHeight="true" outlineLevel="0" collapsed="false">
      <c r="A34" s="6" t="str">
        <f aca="false">"K4"&amp;IF('00 Setup'!B19="",""," · "&amp;'00 Setup'!B19)</f>
        <v>K4</v>
      </c>
      <c r="B34" s="7" t="s">
        <v>107</v>
      </c>
      <c r="C34" s="7" t="str">
        <f aca="false">IF('01 Rubric'!B8="","",'01 Rubric'!B8)</f>
        <v>Technical accounting and IFRS application</v>
      </c>
      <c r="D34" s="17" t="n">
        <f aca="false">COUNT('02 Scores'!F34:J34)</f>
        <v>0</v>
      </c>
      <c r="E34" s="17" t="n">
        <f aca="false">COUNTIF('02 Scores'!F34:J34,"&gt;0")</f>
        <v>0</v>
      </c>
      <c r="F34" s="17" t="str">
        <f aca="false">IF(E34=0,"",SMALL('02 Scores'!F34:J34,COUNTIF('02 Scores'!F34:J34,0)+1))</f>
        <v/>
      </c>
      <c r="G34" s="17" t="str">
        <f aca="false">IF(E34=0,"",MAX('02 Scores'!F34:J34))</f>
        <v/>
      </c>
      <c r="H34" s="17" t="str">
        <f aca="false">IF(E34=0,"",G34-F34)</f>
        <v/>
      </c>
      <c r="I34" s="19" t="str">
        <f aca="false">IF(E34=0,"",AVERAGEIF('02 Scores'!F34:J34,"&gt;0"))</f>
        <v/>
      </c>
      <c r="J34" s="17" t="str">
        <f aca="false">IF(E34=0,"",ROUNDUP(I34-0.5,0))</f>
        <v/>
      </c>
      <c r="K34" s="6" t="str">
        <f aca="false">IF(OR(C34="",D34=0),"",IF(E34=0,"No evidence",IF(H34&gt;=3,"Contradiction",IF(H34=2,"Divergence","Agreement"))))</f>
        <v/>
      </c>
    </row>
    <row r="35" customFormat="false" ht="15" hidden="false" customHeight="true" outlineLevel="0" collapsed="false">
      <c r="A35" s="6" t="str">
        <f aca="false">"K4"&amp;IF('00 Setup'!B19="",""," · "&amp;'00 Setup'!B19)</f>
        <v>K4</v>
      </c>
      <c r="B35" s="7" t="s">
        <v>113</v>
      </c>
      <c r="C35" s="7" t="str">
        <f aca="false">IF('01 Rubric'!B9="","",'01 Rubric'!B9)</f>
        <v>Financial reporting and close ownership</v>
      </c>
      <c r="D35" s="17" t="n">
        <f aca="false">COUNT('02 Scores'!F35:J35)</f>
        <v>0</v>
      </c>
      <c r="E35" s="17" t="n">
        <f aca="false">COUNTIF('02 Scores'!F35:J35,"&gt;0")</f>
        <v>0</v>
      </c>
      <c r="F35" s="17" t="str">
        <f aca="false">IF(E35=0,"",SMALL('02 Scores'!F35:J35,COUNTIF('02 Scores'!F35:J35,0)+1))</f>
        <v/>
      </c>
      <c r="G35" s="17" t="str">
        <f aca="false">IF(E35=0,"",MAX('02 Scores'!F35:J35))</f>
        <v/>
      </c>
      <c r="H35" s="17" t="str">
        <f aca="false">IF(E35=0,"",G35-F35)</f>
        <v/>
      </c>
      <c r="I35" s="19" t="str">
        <f aca="false">IF(E35=0,"",AVERAGEIF('02 Scores'!F35:J35,"&gt;0"))</f>
        <v/>
      </c>
      <c r="J35" s="17" t="str">
        <f aca="false">IF(E35=0,"",ROUNDUP(I35-0.5,0))</f>
        <v/>
      </c>
      <c r="K35" s="6" t="str">
        <f aca="false">IF(OR(C35="",D35=0),"",IF(E35=0,"No evidence",IF(H35&gt;=3,"Contradiction",IF(H35=2,"Divergence","Agreement"))))</f>
        <v/>
      </c>
    </row>
    <row r="36" customFormat="false" ht="15" hidden="false" customHeight="true" outlineLevel="0" collapsed="false">
      <c r="A36" s="6" t="str">
        <f aca="false">"K4"&amp;IF('00 Setup'!B19="",""," · "&amp;'00 Setup'!B19)</f>
        <v>K4</v>
      </c>
      <c r="B36" s="7" t="s">
        <v>118</v>
      </c>
      <c r="C36" s="7" t="str">
        <f aca="false">IF('01 Rubric'!B10="","",'01 Rubric'!B10)</f>
        <v>Controls, compliance and audit readiness</v>
      </c>
      <c r="D36" s="17" t="n">
        <f aca="false">COUNT('02 Scores'!F36:J36)</f>
        <v>0</v>
      </c>
      <c r="E36" s="17" t="n">
        <f aca="false">COUNTIF('02 Scores'!F36:J36,"&gt;0")</f>
        <v>0</v>
      </c>
      <c r="F36" s="17" t="str">
        <f aca="false">IF(E36=0,"",SMALL('02 Scores'!F36:J36,COUNTIF('02 Scores'!F36:J36,0)+1))</f>
        <v/>
      </c>
      <c r="G36" s="17" t="str">
        <f aca="false">IF(E36=0,"",MAX('02 Scores'!F36:J36))</f>
        <v/>
      </c>
      <c r="H36" s="17" t="str">
        <f aca="false">IF(E36=0,"",G36-F36)</f>
        <v/>
      </c>
      <c r="I36" s="19" t="str">
        <f aca="false">IF(E36=0,"",AVERAGEIF('02 Scores'!F36:J36,"&gt;0"))</f>
        <v/>
      </c>
      <c r="J36" s="17" t="str">
        <f aca="false">IF(E36=0,"",ROUNDUP(I36-0.5,0))</f>
        <v/>
      </c>
      <c r="K36" s="6" t="str">
        <f aca="false">IF(OR(C36="",D36=0),"",IF(E36=0,"No evidence",IF(H36&gt;=3,"Contradiction",IF(H36=2,"Divergence","Agreement"))))</f>
        <v/>
      </c>
    </row>
    <row r="37" customFormat="false" ht="15" hidden="false" customHeight="true" outlineLevel="0" collapsed="false">
      <c r="A37" s="6" t="str">
        <f aca="false">"K4"&amp;IF('00 Setup'!B19="",""," · "&amp;'00 Setup'!B19)</f>
        <v>K4</v>
      </c>
      <c r="B37" s="7" t="s">
        <v>123</v>
      </c>
      <c r="C37" s="7" t="str">
        <f aca="false">IF('01 Rubric'!B11="","",'01 Rubric'!B11)</f>
        <v>Planning, budgeting and forecasting</v>
      </c>
      <c r="D37" s="17" t="n">
        <f aca="false">COUNT('02 Scores'!F37:J37)</f>
        <v>0</v>
      </c>
      <c r="E37" s="17" t="n">
        <f aca="false">COUNTIF('02 Scores'!F37:J37,"&gt;0")</f>
        <v>0</v>
      </c>
      <c r="F37" s="17" t="str">
        <f aca="false">IF(E37=0,"",SMALL('02 Scores'!F37:J37,COUNTIF('02 Scores'!F37:J37,0)+1))</f>
        <v/>
      </c>
      <c r="G37" s="17" t="str">
        <f aca="false">IF(E37=0,"",MAX('02 Scores'!F37:J37))</f>
        <v/>
      </c>
      <c r="H37" s="17" t="str">
        <f aca="false">IF(E37=0,"",G37-F37)</f>
        <v/>
      </c>
      <c r="I37" s="19" t="str">
        <f aca="false">IF(E37=0,"",AVERAGEIF('02 Scores'!F37:J37,"&gt;0"))</f>
        <v/>
      </c>
      <c r="J37" s="17" t="str">
        <f aca="false">IF(E37=0,"",ROUNDUP(I37-0.5,0))</f>
        <v/>
      </c>
      <c r="K37" s="6" t="str">
        <f aca="false">IF(OR(C37="",D37=0),"",IF(E37=0,"No evidence",IF(H37&gt;=3,"Contradiction",IF(H37=2,"Divergence","Agreement"))))</f>
        <v/>
      </c>
    </row>
    <row r="38" customFormat="false" ht="15" hidden="false" customHeight="true" outlineLevel="0" collapsed="false">
      <c r="A38" s="6" t="str">
        <f aca="false">"K4"&amp;IF('00 Setup'!B19="",""," · "&amp;'00 Setup'!B19)</f>
        <v>K4</v>
      </c>
      <c r="B38" s="7" t="s">
        <v>128</v>
      </c>
      <c r="C38" s="7" t="str">
        <f aca="false">IF('01 Rubric'!B12="","",'01 Rubric'!B12)</f>
        <v>Cash, treasury and working capital</v>
      </c>
      <c r="D38" s="17" t="n">
        <f aca="false">COUNT('02 Scores'!F38:J38)</f>
        <v>0</v>
      </c>
      <c r="E38" s="17" t="n">
        <f aca="false">COUNTIF('02 Scores'!F38:J38,"&gt;0")</f>
        <v>0</v>
      </c>
      <c r="F38" s="17" t="str">
        <f aca="false">IF(E38=0,"",SMALL('02 Scores'!F38:J38,COUNTIF('02 Scores'!F38:J38,0)+1))</f>
        <v/>
      </c>
      <c r="G38" s="17" t="str">
        <f aca="false">IF(E38=0,"",MAX('02 Scores'!F38:J38))</f>
        <v/>
      </c>
      <c r="H38" s="17" t="str">
        <f aca="false">IF(E38=0,"",G38-F38)</f>
        <v/>
      </c>
      <c r="I38" s="19" t="str">
        <f aca="false">IF(E38=0,"",AVERAGEIF('02 Scores'!F38:J38,"&gt;0"))</f>
        <v/>
      </c>
      <c r="J38" s="17" t="str">
        <f aca="false">IF(E38=0,"",ROUNDUP(I38-0.5,0))</f>
        <v/>
      </c>
      <c r="K38" s="6" t="str">
        <f aca="false">IF(OR(C38="",D38=0),"",IF(E38=0,"No evidence",IF(H38&gt;=3,"Contradiction",IF(H38=2,"Divergence","Agreement"))))</f>
        <v/>
      </c>
    </row>
    <row r="39" customFormat="false" ht="15" hidden="false" customHeight="true" outlineLevel="0" collapsed="false">
      <c r="A39" s="6" t="str">
        <f aca="false">"K4"&amp;IF('00 Setup'!B19="",""," · "&amp;'00 Setup'!B19)</f>
        <v>K4</v>
      </c>
      <c r="B39" s="7" t="s">
        <v>134</v>
      </c>
      <c r="C39" s="7" t="str">
        <f aca="false">IF('01 Rubric'!B13="","",'01 Rubric'!B13)</f>
        <v>Systems, data and reporting tooling</v>
      </c>
      <c r="D39" s="17" t="n">
        <f aca="false">COUNT('02 Scores'!F39:J39)</f>
        <v>0</v>
      </c>
      <c r="E39" s="17" t="n">
        <f aca="false">COUNTIF('02 Scores'!F39:J39,"&gt;0")</f>
        <v>0</v>
      </c>
      <c r="F39" s="17" t="str">
        <f aca="false">IF(E39=0,"",SMALL('02 Scores'!F39:J39,COUNTIF('02 Scores'!F39:J39,0)+1))</f>
        <v/>
      </c>
      <c r="G39" s="17" t="str">
        <f aca="false">IF(E39=0,"",MAX('02 Scores'!F39:J39))</f>
        <v/>
      </c>
      <c r="H39" s="17" t="str">
        <f aca="false">IF(E39=0,"",G39-F39)</f>
        <v/>
      </c>
      <c r="I39" s="19" t="str">
        <f aca="false">IF(E39=0,"",AVERAGEIF('02 Scores'!F39:J39,"&gt;0"))</f>
        <v/>
      </c>
      <c r="J39" s="17" t="str">
        <f aca="false">IF(E39=0,"",ROUNDUP(I39-0.5,0))</f>
        <v/>
      </c>
      <c r="K39" s="6" t="str">
        <f aca="false">IF(OR(C39="",D39=0),"",IF(E39=0,"No evidence",IF(H39&gt;=3,"Contradiction",IF(H39=2,"Divergence","Agreement"))))</f>
        <v/>
      </c>
    </row>
    <row r="40" customFormat="false" ht="15" hidden="false" customHeight="true" outlineLevel="0" collapsed="false">
      <c r="A40" s="6" t="str">
        <f aca="false">"K4"&amp;IF('00 Setup'!B19="",""," · "&amp;'00 Setup'!B19)</f>
        <v>K4</v>
      </c>
      <c r="B40" s="7" t="s">
        <v>139</v>
      </c>
      <c r="C40" s="7" t="str">
        <f aca="false">IF('01 Rubric'!B14="","",'01 Rubric'!B14)</f>
        <v>Team leadership and delegation</v>
      </c>
      <c r="D40" s="17" t="n">
        <f aca="false">COUNT('02 Scores'!F40:J40)</f>
        <v>0</v>
      </c>
      <c r="E40" s="17" t="n">
        <f aca="false">COUNTIF('02 Scores'!F40:J40,"&gt;0")</f>
        <v>0</v>
      </c>
      <c r="F40" s="17" t="str">
        <f aca="false">IF(E40=0,"",SMALL('02 Scores'!F40:J40,COUNTIF('02 Scores'!F40:J40,0)+1))</f>
        <v/>
      </c>
      <c r="G40" s="17" t="str">
        <f aca="false">IF(E40=0,"",MAX('02 Scores'!F40:J40))</f>
        <v/>
      </c>
      <c r="H40" s="17" t="str">
        <f aca="false">IF(E40=0,"",G40-F40)</f>
        <v/>
      </c>
      <c r="I40" s="19" t="str">
        <f aca="false">IF(E40=0,"",AVERAGEIF('02 Scores'!F40:J40,"&gt;0"))</f>
        <v/>
      </c>
      <c r="J40" s="17" t="str">
        <f aca="false">IF(E40=0,"",ROUNDUP(I40-0.5,0))</f>
        <v/>
      </c>
      <c r="K40" s="6" t="str">
        <f aca="false">IF(OR(C40="",D40=0),"",IF(E40=0,"No evidence",IF(H40&gt;=3,"Contradiction",IF(H40=2,"Divergence","Agreement"))))</f>
        <v/>
      </c>
    </row>
    <row r="41" customFormat="false" ht="15" hidden="false" customHeight="true" outlineLevel="0" collapsed="false">
      <c r="A41" s="6" t="str">
        <f aca="false">"K4"&amp;IF('00 Setup'!B19="",""," · "&amp;'00 Setup'!B19)</f>
        <v>K4</v>
      </c>
      <c r="B41" s="7" t="s">
        <v>144</v>
      </c>
      <c r="C41" s="7" t="str">
        <f aca="false">IF('01 Rubric'!B15="","",'01 Rubric'!B15)</f>
        <v>Stakeholder communication and reporting</v>
      </c>
      <c r="D41" s="17" t="n">
        <f aca="false">COUNT('02 Scores'!F41:J41)</f>
        <v>0</v>
      </c>
      <c r="E41" s="17" t="n">
        <f aca="false">COUNTIF('02 Scores'!F41:J41,"&gt;0")</f>
        <v>0</v>
      </c>
      <c r="F41" s="17" t="str">
        <f aca="false">IF(E41=0,"",SMALL('02 Scores'!F41:J41,COUNTIF('02 Scores'!F41:J41,0)+1))</f>
        <v/>
      </c>
      <c r="G41" s="17" t="str">
        <f aca="false">IF(E41=0,"",MAX('02 Scores'!F41:J41))</f>
        <v/>
      </c>
      <c r="H41" s="17" t="str">
        <f aca="false">IF(E41=0,"",G41-F41)</f>
        <v/>
      </c>
      <c r="I41" s="19" t="str">
        <f aca="false">IF(E41=0,"",AVERAGEIF('02 Scores'!F41:J41,"&gt;0"))</f>
        <v/>
      </c>
      <c r="J41" s="17" t="str">
        <f aca="false">IF(E41=0,"",ROUNDUP(I41-0.5,0))</f>
        <v/>
      </c>
      <c r="K41" s="6" t="str">
        <f aca="false">IF(OR(C41="",D41=0),"",IF(E41=0,"No evidence",IF(H41&gt;=3,"Contradiction",IF(H41=2,"Divergence","Agreement"))))</f>
        <v/>
      </c>
    </row>
    <row r="42" customFormat="false" ht="15" hidden="false" customHeight="true" outlineLevel="0" collapsed="false">
      <c r="A42" s="6" t="str">
        <f aca="false">"K4"&amp;IF('00 Setup'!B19="",""," · "&amp;'00 Setup'!B19)</f>
        <v>K4</v>
      </c>
      <c r="B42" s="7" t="s">
        <v>149</v>
      </c>
      <c r="C42" s="7" t="str">
        <f aca="false">IF('01 Rubric'!B16="","",'01 Rubric'!B16)</f>
        <v>Jurisdictional and regulatory exposure</v>
      </c>
      <c r="D42" s="17" t="n">
        <f aca="false">COUNT('02 Scores'!F42:J42)</f>
        <v>0</v>
      </c>
      <c r="E42" s="17" t="n">
        <f aca="false">COUNTIF('02 Scores'!F42:J42,"&gt;0")</f>
        <v>0</v>
      </c>
      <c r="F42" s="17" t="str">
        <f aca="false">IF(E42=0,"",SMALL('02 Scores'!F42:J42,COUNTIF('02 Scores'!F42:J42,0)+1))</f>
        <v/>
      </c>
      <c r="G42" s="17" t="str">
        <f aca="false">IF(E42=0,"",MAX('02 Scores'!F42:J42))</f>
        <v/>
      </c>
      <c r="H42" s="17" t="str">
        <f aca="false">IF(E42=0,"",G42-F42)</f>
        <v/>
      </c>
      <c r="I42" s="19" t="str">
        <f aca="false">IF(E42=0,"",AVERAGEIF('02 Scores'!F42:J42,"&gt;0"))</f>
        <v/>
      </c>
      <c r="J42" s="17" t="str">
        <f aca="false">IF(E42=0,"",ROUNDUP(I42-0.5,0))</f>
        <v/>
      </c>
      <c r="K42" s="6" t="str">
        <f aca="false">IF(OR(C42="",D42=0),"",IF(E42=0,"No evidence",IF(H42&gt;=3,"Contradiction",IF(H42=2,"Divergence","Agreement"))))</f>
        <v/>
      </c>
    </row>
    <row r="43" customFormat="false" ht="15" hidden="false" customHeight="true" outlineLevel="0" collapsed="false">
      <c r="A43" s="6" t="str">
        <f aca="false">"K5"&amp;IF('00 Setup'!B20="",""," · "&amp;'00 Setup'!B20)</f>
        <v>K5</v>
      </c>
      <c r="B43" s="7" t="s">
        <v>107</v>
      </c>
      <c r="C43" s="7" t="str">
        <f aca="false">IF('01 Rubric'!B8="","",'01 Rubric'!B8)</f>
        <v>Technical accounting and IFRS application</v>
      </c>
      <c r="D43" s="17" t="n">
        <f aca="false">COUNT('02 Scores'!F43:J43)</f>
        <v>0</v>
      </c>
      <c r="E43" s="17" t="n">
        <f aca="false">COUNTIF('02 Scores'!F43:J43,"&gt;0")</f>
        <v>0</v>
      </c>
      <c r="F43" s="17" t="str">
        <f aca="false">IF(E43=0,"",SMALL('02 Scores'!F43:J43,COUNTIF('02 Scores'!F43:J43,0)+1))</f>
        <v/>
      </c>
      <c r="G43" s="17" t="str">
        <f aca="false">IF(E43=0,"",MAX('02 Scores'!F43:J43))</f>
        <v/>
      </c>
      <c r="H43" s="17" t="str">
        <f aca="false">IF(E43=0,"",G43-F43)</f>
        <v/>
      </c>
      <c r="I43" s="19" t="str">
        <f aca="false">IF(E43=0,"",AVERAGEIF('02 Scores'!F43:J43,"&gt;0"))</f>
        <v/>
      </c>
      <c r="J43" s="17" t="str">
        <f aca="false">IF(E43=0,"",ROUNDUP(I43-0.5,0))</f>
        <v/>
      </c>
      <c r="K43" s="6" t="str">
        <f aca="false">IF(OR(C43="",D43=0),"",IF(E43=0,"No evidence",IF(H43&gt;=3,"Contradiction",IF(H43=2,"Divergence","Agreement"))))</f>
        <v/>
      </c>
    </row>
    <row r="44" customFormat="false" ht="15" hidden="false" customHeight="true" outlineLevel="0" collapsed="false">
      <c r="A44" s="6" t="str">
        <f aca="false">"K5"&amp;IF('00 Setup'!B20="",""," · "&amp;'00 Setup'!B20)</f>
        <v>K5</v>
      </c>
      <c r="B44" s="7" t="s">
        <v>113</v>
      </c>
      <c r="C44" s="7" t="str">
        <f aca="false">IF('01 Rubric'!B9="","",'01 Rubric'!B9)</f>
        <v>Financial reporting and close ownership</v>
      </c>
      <c r="D44" s="17" t="n">
        <f aca="false">COUNT('02 Scores'!F44:J44)</f>
        <v>0</v>
      </c>
      <c r="E44" s="17" t="n">
        <f aca="false">COUNTIF('02 Scores'!F44:J44,"&gt;0")</f>
        <v>0</v>
      </c>
      <c r="F44" s="17" t="str">
        <f aca="false">IF(E44=0,"",SMALL('02 Scores'!F44:J44,COUNTIF('02 Scores'!F44:J44,0)+1))</f>
        <v/>
      </c>
      <c r="G44" s="17" t="str">
        <f aca="false">IF(E44=0,"",MAX('02 Scores'!F44:J44))</f>
        <v/>
      </c>
      <c r="H44" s="17" t="str">
        <f aca="false">IF(E44=0,"",G44-F44)</f>
        <v/>
      </c>
      <c r="I44" s="19" t="str">
        <f aca="false">IF(E44=0,"",AVERAGEIF('02 Scores'!F44:J44,"&gt;0"))</f>
        <v/>
      </c>
      <c r="J44" s="17" t="str">
        <f aca="false">IF(E44=0,"",ROUNDUP(I44-0.5,0))</f>
        <v/>
      </c>
      <c r="K44" s="6" t="str">
        <f aca="false">IF(OR(C44="",D44=0),"",IF(E44=0,"No evidence",IF(H44&gt;=3,"Contradiction",IF(H44=2,"Divergence","Agreement"))))</f>
        <v/>
      </c>
    </row>
    <row r="45" customFormat="false" ht="15" hidden="false" customHeight="true" outlineLevel="0" collapsed="false">
      <c r="A45" s="6" t="str">
        <f aca="false">"K5"&amp;IF('00 Setup'!B20="",""," · "&amp;'00 Setup'!B20)</f>
        <v>K5</v>
      </c>
      <c r="B45" s="7" t="s">
        <v>118</v>
      </c>
      <c r="C45" s="7" t="str">
        <f aca="false">IF('01 Rubric'!B10="","",'01 Rubric'!B10)</f>
        <v>Controls, compliance and audit readiness</v>
      </c>
      <c r="D45" s="17" t="n">
        <f aca="false">COUNT('02 Scores'!F45:J45)</f>
        <v>0</v>
      </c>
      <c r="E45" s="17" t="n">
        <f aca="false">COUNTIF('02 Scores'!F45:J45,"&gt;0")</f>
        <v>0</v>
      </c>
      <c r="F45" s="17" t="str">
        <f aca="false">IF(E45=0,"",SMALL('02 Scores'!F45:J45,COUNTIF('02 Scores'!F45:J45,0)+1))</f>
        <v/>
      </c>
      <c r="G45" s="17" t="str">
        <f aca="false">IF(E45=0,"",MAX('02 Scores'!F45:J45))</f>
        <v/>
      </c>
      <c r="H45" s="17" t="str">
        <f aca="false">IF(E45=0,"",G45-F45)</f>
        <v/>
      </c>
      <c r="I45" s="19" t="str">
        <f aca="false">IF(E45=0,"",AVERAGEIF('02 Scores'!F45:J45,"&gt;0"))</f>
        <v/>
      </c>
      <c r="J45" s="17" t="str">
        <f aca="false">IF(E45=0,"",ROUNDUP(I45-0.5,0))</f>
        <v/>
      </c>
      <c r="K45" s="6" t="str">
        <f aca="false">IF(OR(C45="",D45=0),"",IF(E45=0,"No evidence",IF(H45&gt;=3,"Contradiction",IF(H45=2,"Divergence","Agreement"))))</f>
        <v/>
      </c>
    </row>
    <row r="46" customFormat="false" ht="15" hidden="false" customHeight="true" outlineLevel="0" collapsed="false">
      <c r="A46" s="6" t="str">
        <f aca="false">"K5"&amp;IF('00 Setup'!B20="",""," · "&amp;'00 Setup'!B20)</f>
        <v>K5</v>
      </c>
      <c r="B46" s="7" t="s">
        <v>123</v>
      </c>
      <c r="C46" s="7" t="str">
        <f aca="false">IF('01 Rubric'!B11="","",'01 Rubric'!B11)</f>
        <v>Planning, budgeting and forecasting</v>
      </c>
      <c r="D46" s="17" t="n">
        <f aca="false">COUNT('02 Scores'!F46:J46)</f>
        <v>0</v>
      </c>
      <c r="E46" s="17" t="n">
        <f aca="false">COUNTIF('02 Scores'!F46:J46,"&gt;0")</f>
        <v>0</v>
      </c>
      <c r="F46" s="17" t="str">
        <f aca="false">IF(E46=0,"",SMALL('02 Scores'!F46:J46,COUNTIF('02 Scores'!F46:J46,0)+1))</f>
        <v/>
      </c>
      <c r="G46" s="17" t="str">
        <f aca="false">IF(E46=0,"",MAX('02 Scores'!F46:J46))</f>
        <v/>
      </c>
      <c r="H46" s="17" t="str">
        <f aca="false">IF(E46=0,"",G46-F46)</f>
        <v/>
      </c>
      <c r="I46" s="19" t="str">
        <f aca="false">IF(E46=0,"",AVERAGEIF('02 Scores'!F46:J46,"&gt;0"))</f>
        <v/>
      </c>
      <c r="J46" s="17" t="str">
        <f aca="false">IF(E46=0,"",ROUNDUP(I46-0.5,0))</f>
        <v/>
      </c>
      <c r="K46" s="6" t="str">
        <f aca="false">IF(OR(C46="",D46=0),"",IF(E46=0,"No evidence",IF(H46&gt;=3,"Contradiction",IF(H46=2,"Divergence","Agreement"))))</f>
        <v/>
      </c>
    </row>
    <row r="47" customFormat="false" ht="15" hidden="false" customHeight="true" outlineLevel="0" collapsed="false">
      <c r="A47" s="6" t="str">
        <f aca="false">"K5"&amp;IF('00 Setup'!B20="",""," · "&amp;'00 Setup'!B20)</f>
        <v>K5</v>
      </c>
      <c r="B47" s="7" t="s">
        <v>128</v>
      </c>
      <c r="C47" s="7" t="str">
        <f aca="false">IF('01 Rubric'!B12="","",'01 Rubric'!B12)</f>
        <v>Cash, treasury and working capital</v>
      </c>
      <c r="D47" s="17" t="n">
        <f aca="false">COUNT('02 Scores'!F47:J47)</f>
        <v>0</v>
      </c>
      <c r="E47" s="17" t="n">
        <f aca="false">COUNTIF('02 Scores'!F47:J47,"&gt;0")</f>
        <v>0</v>
      </c>
      <c r="F47" s="17" t="str">
        <f aca="false">IF(E47=0,"",SMALL('02 Scores'!F47:J47,COUNTIF('02 Scores'!F47:J47,0)+1))</f>
        <v/>
      </c>
      <c r="G47" s="17" t="str">
        <f aca="false">IF(E47=0,"",MAX('02 Scores'!F47:J47))</f>
        <v/>
      </c>
      <c r="H47" s="17" t="str">
        <f aca="false">IF(E47=0,"",G47-F47)</f>
        <v/>
      </c>
      <c r="I47" s="19" t="str">
        <f aca="false">IF(E47=0,"",AVERAGEIF('02 Scores'!F47:J47,"&gt;0"))</f>
        <v/>
      </c>
      <c r="J47" s="17" t="str">
        <f aca="false">IF(E47=0,"",ROUNDUP(I47-0.5,0))</f>
        <v/>
      </c>
      <c r="K47" s="6" t="str">
        <f aca="false">IF(OR(C47="",D47=0),"",IF(E47=0,"No evidence",IF(H47&gt;=3,"Contradiction",IF(H47=2,"Divergence","Agreement"))))</f>
        <v/>
      </c>
    </row>
    <row r="48" customFormat="false" ht="15" hidden="false" customHeight="true" outlineLevel="0" collapsed="false">
      <c r="A48" s="6" t="str">
        <f aca="false">"K5"&amp;IF('00 Setup'!B20="",""," · "&amp;'00 Setup'!B20)</f>
        <v>K5</v>
      </c>
      <c r="B48" s="7" t="s">
        <v>134</v>
      </c>
      <c r="C48" s="7" t="str">
        <f aca="false">IF('01 Rubric'!B13="","",'01 Rubric'!B13)</f>
        <v>Systems, data and reporting tooling</v>
      </c>
      <c r="D48" s="17" t="n">
        <f aca="false">COUNT('02 Scores'!F48:J48)</f>
        <v>0</v>
      </c>
      <c r="E48" s="17" t="n">
        <f aca="false">COUNTIF('02 Scores'!F48:J48,"&gt;0")</f>
        <v>0</v>
      </c>
      <c r="F48" s="17" t="str">
        <f aca="false">IF(E48=0,"",SMALL('02 Scores'!F48:J48,COUNTIF('02 Scores'!F48:J48,0)+1))</f>
        <v/>
      </c>
      <c r="G48" s="17" t="str">
        <f aca="false">IF(E48=0,"",MAX('02 Scores'!F48:J48))</f>
        <v/>
      </c>
      <c r="H48" s="17" t="str">
        <f aca="false">IF(E48=0,"",G48-F48)</f>
        <v/>
      </c>
      <c r="I48" s="19" t="str">
        <f aca="false">IF(E48=0,"",AVERAGEIF('02 Scores'!F48:J48,"&gt;0"))</f>
        <v/>
      </c>
      <c r="J48" s="17" t="str">
        <f aca="false">IF(E48=0,"",ROUNDUP(I48-0.5,0))</f>
        <v/>
      </c>
      <c r="K48" s="6" t="str">
        <f aca="false">IF(OR(C48="",D48=0),"",IF(E48=0,"No evidence",IF(H48&gt;=3,"Contradiction",IF(H48=2,"Divergence","Agreement"))))</f>
        <v/>
      </c>
    </row>
    <row r="49" customFormat="false" ht="15" hidden="false" customHeight="true" outlineLevel="0" collapsed="false">
      <c r="A49" s="6" t="str">
        <f aca="false">"K5"&amp;IF('00 Setup'!B20="",""," · "&amp;'00 Setup'!B20)</f>
        <v>K5</v>
      </c>
      <c r="B49" s="7" t="s">
        <v>139</v>
      </c>
      <c r="C49" s="7" t="str">
        <f aca="false">IF('01 Rubric'!B14="","",'01 Rubric'!B14)</f>
        <v>Team leadership and delegation</v>
      </c>
      <c r="D49" s="17" t="n">
        <f aca="false">COUNT('02 Scores'!F49:J49)</f>
        <v>0</v>
      </c>
      <c r="E49" s="17" t="n">
        <f aca="false">COUNTIF('02 Scores'!F49:J49,"&gt;0")</f>
        <v>0</v>
      </c>
      <c r="F49" s="17" t="str">
        <f aca="false">IF(E49=0,"",SMALL('02 Scores'!F49:J49,COUNTIF('02 Scores'!F49:J49,0)+1))</f>
        <v/>
      </c>
      <c r="G49" s="17" t="str">
        <f aca="false">IF(E49=0,"",MAX('02 Scores'!F49:J49))</f>
        <v/>
      </c>
      <c r="H49" s="17" t="str">
        <f aca="false">IF(E49=0,"",G49-F49)</f>
        <v/>
      </c>
      <c r="I49" s="19" t="str">
        <f aca="false">IF(E49=0,"",AVERAGEIF('02 Scores'!F49:J49,"&gt;0"))</f>
        <v/>
      </c>
      <c r="J49" s="17" t="str">
        <f aca="false">IF(E49=0,"",ROUNDUP(I49-0.5,0))</f>
        <v/>
      </c>
      <c r="K49" s="6" t="str">
        <f aca="false">IF(OR(C49="",D49=0),"",IF(E49=0,"No evidence",IF(H49&gt;=3,"Contradiction",IF(H49=2,"Divergence","Agreement"))))</f>
        <v/>
      </c>
    </row>
    <row r="50" customFormat="false" ht="15" hidden="false" customHeight="true" outlineLevel="0" collapsed="false">
      <c r="A50" s="6" t="str">
        <f aca="false">"K5"&amp;IF('00 Setup'!B20="",""," · "&amp;'00 Setup'!B20)</f>
        <v>K5</v>
      </c>
      <c r="B50" s="7" t="s">
        <v>144</v>
      </c>
      <c r="C50" s="7" t="str">
        <f aca="false">IF('01 Rubric'!B15="","",'01 Rubric'!B15)</f>
        <v>Stakeholder communication and reporting</v>
      </c>
      <c r="D50" s="17" t="n">
        <f aca="false">COUNT('02 Scores'!F50:J50)</f>
        <v>0</v>
      </c>
      <c r="E50" s="17" t="n">
        <f aca="false">COUNTIF('02 Scores'!F50:J50,"&gt;0")</f>
        <v>0</v>
      </c>
      <c r="F50" s="17" t="str">
        <f aca="false">IF(E50=0,"",SMALL('02 Scores'!F50:J50,COUNTIF('02 Scores'!F50:J50,0)+1))</f>
        <v/>
      </c>
      <c r="G50" s="17" t="str">
        <f aca="false">IF(E50=0,"",MAX('02 Scores'!F50:J50))</f>
        <v/>
      </c>
      <c r="H50" s="17" t="str">
        <f aca="false">IF(E50=0,"",G50-F50)</f>
        <v/>
      </c>
      <c r="I50" s="19" t="str">
        <f aca="false">IF(E50=0,"",AVERAGEIF('02 Scores'!F50:J50,"&gt;0"))</f>
        <v/>
      </c>
      <c r="J50" s="17" t="str">
        <f aca="false">IF(E50=0,"",ROUNDUP(I50-0.5,0))</f>
        <v/>
      </c>
      <c r="K50" s="6" t="str">
        <f aca="false">IF(OR(C50="",D50=0),"",IF(E50=0,"No evidence",IF(H50&gt;=3,"Contradiction",IF(H50=2,"Divergence","Agreement"))))</f>
        <v/>
      </c>
    </row>
    <row r="51" customFormat="false" ht="15" hidden="false" customHeight="true" outlineLevel="0" collapsed="false">
      <c r="A51" s="6" t="str">
        <f aca="false">"K5"&amp;IF('00 Setup'!B20="",""," · "&amp;'00 Setup'!B20)</f>
        <v>K5</v>
      </c>
      <c r="B51" s="7" t="s">
        <v>149</v>
      </c>
      <c r="C51" s="7" t="str">
        <f aca="false">IF('01 Rubric'!B16="","",'01 Rubric'!B16)</f>
        <v>Jurisdictional and regulatory exposure</v>
      </c>
      <c r="D51" s="17" t="n">
        <f aca="false">COUNT('02 Scores'!F51:J51)</f>
        <v>0</v>
      </c>
      <c r="E51" s="17" t="n">
        <f aca="false">COUNTIF('02 Scores'!F51:J51,"&gt;0")</f>
        <v>0</v>
      </c>
      <c r="F51" s="17" t="str">
        <f aca="false">IF(E51=0,"",SMALL('02 Scores'!F51:J51,COUNTIF('02 Scores'!F51:J51,0)+1))</f>
        <v/>
      </c>
      <c r="G51" s="17" t="str">
        <f aca="false">IF(E51=0,"",MAX('02 Scores'!F51:J51))</f>
        <v/>
      </c>
      <c r="H51" s="17" t="str">
        <f aca="false">IF(E51=0,"",G51-F51)</f>
        <v/>
      </c>
      <c r="I51" s="19" t="str">
        <f aca="false">IF(E51=0,"",AVERAGEIF('02 Scores'!F51:J51,"&gt;0"))</f>
        <v/>
      </c>
      <c r="J51" s="17" t="str">
        <f aca="false">IF(E51=0,"",ROUNDUP(I51-0.5,0))</f>
        <v/>
      </c>
      <c r="K51" s="6" t="str">
        <f aca="false">IF(OR(C51="",D51=0),"",IF(E51=0,"No evidence",IF(H51&gt;=3,"Contradiction",IF(H51=2,"Divergence","Agreement"))))</f>
        <v/>
      </c>
    </row>
    <row r="52" customFormat="false" ht="15" hidden="false" customHeight="true" outlineLevel="0" collapsed="false">
      <c r="A52" s="6" t="str">
        <f aca="false">"K6"&amp;IF('00 Setup'!B21="",""," · "&amp;'00 Setup'!B21)</f>
        <v>K6</v>
      </c>
      <c r="B52" s="7" t="s">
        <v>107</v>
      </c>
      <c r="C52" s="7" t="str">
        <f aca="false">IF('01 Rubric'!B8="","",'01 Rubric'!B8)</f>
        <v>Technical accounting and IFRS application</v>
      </c>
      <c r="D52" s="17" t="n">
        <f aca="false">COUNT('02 Scores'!F52:J52)</f>
        <v>0</v>
      </c>
      <c r="E52" s="17" t="n">
        <f aca="false">COUNTIF('02 Scores'!F52:J52,"&gt;0")</f>
        <v>0</v>
      </c>
      <c r="F52" s="17" t="str">
        <f aca="false">IF(E52=0,"",SMALL('02 Scores'!F52:J52,COUNTIF('02 Scores'!F52:J52,0)+1))</f>
        <v/>
      </c>
      <c r="G52" s="17" t="str">
        <f aca="false">IF(E52=0,"",MAX('02 Scores'!F52:J52))</f>
        <v/>
      </c>
      <c r="H52" s="17" t="str">
        <f aca="false">IF(E52=0,"",G52-F52)</f>
        <v/>
      </c>
      <c r="I52" s="19" t="str">
        <f aca="false">IF(E52=0,"",AVERAGEIF('02 Scores'!F52:J52,"&gt;0"))</f>
        <v/>
      </c>
      <c r="J52" s="17" t="str">
        <f aca="false">IF(E52=0,"",ROUNDUP(I52-0.5,0))</f>
        <v/>
      </c>
      <c r="K52" s="6" t="str">
        <f aca="false">IF(OR(C52="",D52=0),"",IF(E52=0,"No evidence",IF(H52&gt;=3,"Contradiction",IF(H52=2,"Divergence","Agreement"))))</f>
        <v/>
      </c>
    </row>
    <row r="53" customFormat="false" ht="15" hidden="false" customHeight="true" outlineLevel="0" collapsed="false">
      <c r="A53" s="6" t="str">
        <f aca="false">"K6"&amp;IF('00 Setup'!B21="",""," · "&amp;'00 Setup'!B21)</f>
        <v>K6</v>
      </c>
      <c r="B53" s="7" t="s">
        <v>113</v>
      </c>
      <c r="C53" s="7" t="str">
        <f aca="false">IF('01 Rubric'!B9="","",'01 Rubric'!B9)</f>
        <v>Financial reporting and close ownership</v>
      </c>
      <c r="D53" s="17" t="n">
        <f aca="false">COUNT('02 Scores'!F53:J53)</f>
        <v>0</v>
      </c>
      <c r="E53" s="17" t="n">
        <f aca="false">COUNTIF('02 Scores'!F53:J53,"&gt;0")</f>
        <v>0</v>
      </c>
      <c r="F53" s="17" t="str">
        <f aca="false">IF(E53=0,"",SMALL('02 Scores'!F53:J53,COUNTIF('02 Scores'!F53:J53,0)+1))</f>
        <v/>
      </c>
      <c r="G53" s="17" t="str">
        <f aca="false">IF(E53=0,"",MAX('02 Scores'!F53:J53))</f>
        <v/>
      </c>
      <c r="H53" s="17" t="str">
        <f aca="false">IF(E53=0,"",G53-F53)</f>
        <v/>
      </c>
      <c r="I53" s="19" t="str">
        <f aca="false">IF(E53=0,"",AVERAGEIF('02 Scores'!F53:J53,"&gt;0"))</f>
        <v/>
      </c>
      <c r="J53" s="17" t="str">
        <f aca="false">IF(E53=0,"",ROUNDUP(I53-0.5,0))</f>
        <v/>
      </c>
      <c r="K53" s="6" t="str">
        <f aca="false">IF(OR(C53="",D53=0),"",IF(E53=0,"No evidence",IF(H53&gt;=3,"Contradiction",IF(H53=2,"Divergence","Agreement"))))</f>
        <v/>
      </c>
    </row>
    <row r="54" customFormat="false" ht="15" hidden="false" customHeight="true" outlineLevel="0" collapsed="false">
      <c r="A54" s="6" t="str">
        <f aca="false">"K6"&amp;IF('00 Setup'!B21="",""," · "&amp;'00 Setup'!B21)</f>
        <v>K6</v>
      </c>
      <c r="B54" s="7" t="s">
        <v>118</v>
      </c>
      <c r="C54" s="7" t="str">
        <f aca="false">IF('01 Rubric'!B10="","",'01 Rubric'!B10)</f>
        <v>Controls, compliance and audit readiness</v>
      </c>
      <c r="D54" s="17" t="n">
        <f aca="false">COUNT('02 Scores'!F54:J54)</f>
        <v>0</v>
      </c>
      <c r="E54" s="17" t="n">
        <f aca="false">COUNTIF('02 Scores'!F54:J54,"&gt;0")</f>
        <v>0</v>
      </c>
      <c r="F54" s="17" t="str">
        <f aca="false">IF(E54=0,"",SMALL('02 Scores'!F54:J54,COUNTIF('02 Scores'!F54:J54,0)+1))</f>
        <v/>
      </c>
      <c r="G54" s="17" t="str">
        <f aca="false">IF(E54=0,"",MAX('02 Scores'!F54:J54))</f>
        <v/>
      </c>
      <c r="H54" s="17" t="str">
        <f aca="false">IF(E54=0,"",G54-F54)</f>
        <v/>
      </c>
      <c r="I54" s="19" t="str">
        <f aca="false">IF(E54=0,"",AVERAGEIF('02 Scores'!F54:J54,"&gt;0"))</f>
        <v/>
      </c>
      <c r="J54" s="17" t="str">
        <f aca="false">IF(E54=0,"",ROUNDUP(I54-0.5,0))</f>
        <v/>
      </c>
      <c r="K54" s="6" t="str">
        <f aca="false">IF(OR(C54="",D54=0),"",IF(E54=0,"No evidence",IF(H54&gt;=3,"Contradiction",IF(H54=2,"Divergence","Agreement"))))</f>
        <v/>
      </c>
    </row>
    <row r="55" customFormat="false" ht="15" hidden="false" customHeight="true" outlineLevel="0" collapsed="false">
      <c r="A55" s="6" t="str">
        <f aca="false">"K6"&amp;IF('00 Setup'!B21="",""," · "&amp;'00 Setup'!B21)</f>
        <v>K6</v>
      </c>
      <c r="B55" s="7" t="s">
        <v>123</v>
      </c>
      <c r="C55" s="7" t="str">
        <f aca="false">IF('01 Rubric'!B11="","",'01 Rubric'!B11)</f>
        <v>Planning, budgeting and forecasting</v>
      </c>
      <c r="D55" s="17" t="n">
        <f aca="false">COUNT('02 Scores'!F55:J55)</f>
        <v>0</v>
      </c>
      <c r="E55" s="17" t="n">
        <f aca="false">COUNTIF('02 Scores'!F55:J55,"&gt;0")</f>
        <v>0</v>
      </c>
      <c r="F55" s="17" t="str">
        <f aca="false">IF(E55=0,"",SMALL('02 Scores'!F55:J55,COUNTIF('02 Scores'!F55:J55,0)+1))</f>
        <v/>
      </c>
      <c r="G55" s="17" t="str">
        <f aca="false">IF(E55=0,"",MAX('02 Scores'!F55:J55))</f>
        <v/>
      </c>
      <c r="H55" s="17" t="str">
        <f aca="false">IF(E55=0,"",G55-F55)</f>
        <v/>
      </c>
      <c r="I55" s="19" t="str">
        <f aca="false">IF(E55=0,"",AVERAGEIF('02 Scores'!F55:J55,"&gt;0"))</f>
        <v/>
      </c>
      <c r="J55" s="17" t="str">
        <f aca="false">IF(E55=0,"",ROUNDUP(I55-0.5,0))</f>
        <v/>
      </c>
      <c r="K55" s="6" t="str">
        <f aca="false">IF(OR(C55="",D55=0),"",IF(E55=0,"No evidence",IF(H55&gt;=3,"Contradiction",IF(H55=2,"Divergence","Agreement"))))</f>
        <v/>
      </c>
    </row>
    <row r="56" customFormat="false" ht="15" hidden="false" customHeight="true" outlineLevel="0" collapsed="false">
      <c r="A56" s="6" t="str">
        <f aca="false">"K6"&amp;IF('00 Setup'!B21="",""," · "&amp;'00 Setup'!B21)</f>
        <v>K6</v>
      </c>
      <c r="B56" s="7" t="s">
        <v>128</v>
      </c>
      <c r="C56" s="7" t="str">
        <f aca="false">IF('01 Rubric'!B12="","",'01 Rubric'!B12)</f>
        <v>Cash, treasury and working capital</v>
      </c>
      <c r="D56" s="17" t="n">
        <f aca="false">COUNT('02 Scores'!F56:J56)</f>
        <v>0</v>
      </c>
      <c r="E56" s="17" t="n">
        <f aca="false">COUNTIF('02 Scores'!F56:J56,"&gt;0")</f>
        <v>0</v>
      </c>
      <c r="F56" s="17" t="str">
        <f aca="false">IF(E56=0,"",SMALL('02 Scores'!F56:J56,COUNTIF('02 Scores'!F56:J56,0)+1))</f>
        <v/>
      </c>
      <c r="G56" s="17" t="str">
        <f aca="false">IF(E56=0,"",MAX('02 Scores'!F56:J56))</f>
        <v/>
      </c>
      <c r="H56" s="17" t="str">
        <f aca="false">IF(E56=0,"",G56-F56)</f>
        <v/>
      </c>
      <c r="I56" s="19" t="str">
        <f aca="false">IF(E56=0,"",AVERAGEIF('02 Scores'!F56:J56,"&gt;0"))</f>
        <v/>
      </c>
      <c r="J56" s="17" t="str">
        <f aca="false">IF(E56=0,"",ROUNDUP(I56-0.5,0))</f>
        <v/>
      </c>
      <c r="K56" s="6" t="str">
        <f aca="false">IF(OR(C56="",D56=0),"",IF(E56=0,"No evidence",IF(H56&gt;=3,"Contradiction",IF(H56=2,"Divergence","Agreement"))))</f>
        <v/>
      </c>
    </row>
    <row r="57" customFormat="false" ht="15" hidden="false" customHeight="true" outlineLevel="0" collapsed="false">
      <c r="A57" s="6" t="str">
        <f aca="false">"K6"&amp;IF('00 Setup'!B21="",""," · "&amp;'00 Setup'!B21)</f>
        <v>K6</v>
      </c>
      <c r="B57" s="7" t="s">
        <v>134</v>
      </c>
      <c r="C57" s="7" t="str">
        <f aca="false">IF('01 Rubric'!B13="","",'01 Rubric'!B13)</f>
        <v>Systems, data and reporting tooling</v>
      </c>
      <c r="D57" s="17" t="n">
        <f aca="false">COUNT('02 Scores'!F57:J57)</f>
        <v>0</v>
      </c>
      <c r="E57" s="17" t="n">
        <f aca="false">COUNTIF('02 Scores'!F57:J57,"&gt;0")</f>
        <v>0</v>
      </c>
      <c r="F57" s="17" t="str">
        <f aca="false">IF(E57=0,"",SMALL('02 Scores'!F57:J57,COUNTIF('02 Scores'!F57:J57,0)+1))</f>
        <v/>
      </c>
      <c r="G57" s="17" t="str">
        <f aca="false">IF(E57=0,"",MAX('02 Scores'!F57:J57))</f>
        <v/>
      </c>
      <c r="H57" s="17" t="str">
        <f aca="false">IF(E57=0,"",G57-F57)</f>
        <v/>
      </c>
      <c r="I57" s="19" t="str">
        <f aca="false">IF(E57=0,"",AVERAGEIF('02 Scores'!F57:J57,"&gt;0"))</f>
        <v/>
      </c>
      <c r="J57" s="17" t="str">
        <f aca="false">IF(E57=0,"",ROUNDUP(I57-0.5,0))</f>
        <v/>
      </c>
      <c r="K57" s="6" t="str">
        <f aca="false">IF(OR(C57="",D57=0),"",IF(E57=0,"No evidence",IF(H57&gt;=3,"Contradiction",IF(H57=2,"Divergence","Agreement"))))</f>
        <v/>
      </c>
    </row>
    <row r="58" customFormat="false" ht="15" hidden="false" customHeight="true" outlineLevel="0" collapsed="false">
      <c r="A58" s="6" t="str">
        <f aca="false">"K6"&amp;IF('00 Setup'!B21="",""," · "&amp;'00 Setup'!B21)</f>
        <v>K6</v>
      </c>
      <c r="B58" s="7" t="s">
        <v>139</v>
      </c>
      <c r="C58" s="7" t="str">
        <f aca="false">IF('01 Rubric'!B14="","",'01 Rubric'!B14)</f>
        <v>Team leadership and delegation</v>
      </c>
      <c r="D58" s="17" t="n">
        <f aca="false">COUNT('02 Scores'!F58:J58)</f>
        <v>0</v>
      </c>
      <c r="E58" s="17" t="n">
        <f aca="false">COUNTIF('02 Scores'!F58:J58,"&gt;0")</f>
        <v>0</v>
      </c>
      <c r="F58" s="17" t="str">
        <f aca="false">IF(E58=0,"",SMALL('02 Scores'!F58:J58,COUNTIF('02 Scores'!F58:J58,0)+1))</f>
        <v/>
      </c>
      <c r="G58" s="17" t="str">
        <f aca="false">IF(E58=0,"",MAX('02 Scores'!F58:J58))</f>
        <v/>
      </c>
      <c r="H58" s="17" t="str">
        <f aca="false">IF(E58=0,"",G58-F58)</f>
        <v/>
      </c>
      <c r="I58" s="19" t="str">
        <f aca="false">IF(E58=0,"",AVERAGEIF('02 Scores'!F58:J58,"&gt;0"))</f>
        <v/>
      </c>
      <c r="J58" s="17" t="str">
        <f aca="false">IF(E58=0,"",ROUNDUP(I58-0.5,0))</f>
        <v/>
      </c>
      <c r="K58" s="6" t="str">
        <f aca="false">IF(OR(C58="",D58=0),"",IF(E58=0,"No evidence",IF(H58&gt;=3,"Contradiction",IF(H58=2,"Divergence","Agreement"))))</f>
        <v/>
      </c>
    </row>
    <row r="59" customFormat="false" ht="15" hidden="false" customHeight="true" outlineLevel="0" collapsed="false">
      <c r="A59" s="6" t="str">
        <f aca="false">"K6"&amp;IF('00 Setup'!B21="",""," · "&amp;'00 Setup'!B21)</f>
        <v>K6</v>
      </c>
      <c r="B59" s="7" t="s">
        <v>144</v>
      </c>
      <c r="C59" s="7" t="str">
        <f aca="false">IF('01 Rubric'!B15="","",'01 Rubric'!B15)</f>
        <v>Stakeholder communication and reporting</v>
      </c>
      <c r="D59" s="17" t="n">
        <f aca="false">COUNT('02 Scores'!F59:J59)</f>
        <v>0</v>
      </c>
      <c r="E59" s="17" t="n">
        <f aca="false">COUNTIF('02 Scores'!F59:J59,"&gt;0")</f>
        <v>0</v>
      </c>
      <c r="F59" s="17" t="str">
        <f aca="false">IF(E59=0,"",SMALL('02 Scores'!F59:J59,COUNTIF('02 Scores'!F59:J59,0)+1))</f>
        <v/>
      </c>
      <c r="G59" s="17" t="str">
        <f aca="false">IF(E59=0,"",MAX('02 Scores'!F59:J59))</f>
        <v/>
      </c>
      <c r="H59" s="17" t="str">
        <f aca="false">IF(E59=0,"",G59-F59)</f>
        <v/>
      </c>
      <c r="I59" s="19" t="str">
        <f aca="false">IF(E59=0,"",AVERAGEIF('02 Scores'!F59:J59,"&gt;0"))</f>
        <v/>
      </c>
      <c r="J59" s="17" t="str">
        <f aca="false">IF(E59=0,"",ROUNDUP(I59-0.5,0))</f>
        <v/>
      </c>
      <c r="K59" s="6" t="str">
        <f aca="false">IF(OR(C59="",D59=0),"",IF(E59=0,"No evidence",IF(H59&gt;=3,"Contradiction",IF(H59=2,"Divergence","Agreement"))))</f>
        <v/>
      </c>
    </row>
    <row r="60" customFormat="false" ht="15" hidden="false" customHeight="true" outlineLevel="0" collapsed="false">
      <c r="A60" s="6" t="str">
        <f aca="false">"K6"&amp;IF('00 Setup'!B21="",""," · "&amp;'00 Setup'!B21)</f>
        <v>K6</v>
      </c>
      <c r="B60" s="7" t="s">
        <v>149</v>
      </c>
      <c r="C60" s="7" t="str">
        <f aca="false">IF('01 Rubric'!B16="","",'01 Rubric'!B16)</f>
        <v>Jurisdictional and regulatory exposure</v>
      </c>
      <c r="D60" s="17" t="n">
        <f aca="false">COUNT('02 Scores'!F60:J60)</f>
        <v>0</v>
      </c>
      <c r="E60" s="17" t="n">
        <f aca="false">COUNTIF('02 Scores'!F60:J60,"&gt;0")</f>
        <v>0</v>
      </c>
      <c r="F60" s="17" t="str">
        <f aca="false">IF(E60=0,"",SMALL('02 Scores'!F60:J60,COUNTIF('02 Scores'!F60:J60,0)+1))</f>
        <v/>
      </c>
      <c r="G60" s="17" t="str">
        <f aca="false">IF(E60=0,"",MAX('02 Scores'!F60:J60))</f>
        <v/>
      </c>
      <c r="H60" s="17" t="str">
        <f aca="false">IF(E60=0,"",G60-F60)</f>
        <v/>
      </c>
      <c r="I60" s="19" t="str">
        <f aca="false">IF(E60=0,"",AVERAGEIF('02 Scores'!F60:J60,"&gt;0"))</f>
        <v/>
      </c>
      <c r="J60" s="17" t="str">
        <f aca="false">IF(E60=0,"",ROUNDUP(I60-0.5,0))</f>
        <v/>
      </c>
      <c r="K60" s="6" t="str">
        <f aca="false">IF(OR(C60="",D60=0),"",IF(E60=0,"No evidence",IF(H60&gt;=3,"Contradiction",IF(H60=2,"Divergence","Agreement"))))</f>
        <v/>
      </c>
    </row>
    <row r="61" customFormat="false" ht="15" hidden="false" customHeight="true" outlineLevel="0" collapsed="false"/>
    <row r="62" customFormat="false" ht="15" hidden="false" customHeight="true" outlineLevel="0" collapsed="false">
      <c r="C62" s="6" t="s">
        <v>187</v>
      </c>
      <c r="D62" s="17" t="n">
        <f aca="false">COUNTIF(K7:K60,"Divergence")</f>
        <v>0</v>
      </c>
    </row>
    <row r="63" customFormat="false" ht="15" hidden="false" customHeight="true" outlineLevel="0" collapsed="false">
      <c r="C63" s="6" t="s">
        <v>188</v>
      </c>
      <c r="D63" s="17" t="n">
        <f aca="false">COUNTIF(K7:K60,"Contradiction")</f>
        <v>0</v>
      </c>
    </row>
    <row r="64" customFormat="false" ht="15" hidden="false" customHeight="true" outlineLevel="0" collapsed="false">
      <c r="C64" s="6" t="s">
        <v>189</v>
      </c>
      <c r="D64" s="17" t="n">
        <f aca="false">COUNTIF(K7:K60,"No evidence")</f>
        <v>0</v>
      </c>
    </row>
    <row r="65" customFormat="false" ht="15" hidden="false" customHeight="true" outlineLevel="0" collapsed="false">
      <c r="C65" s="6" t="s">
        <v>190</v>
      </c>
      <c r="D65" s="20" t="str">
        <f aca="false">IF(COUNTIF(K7:K60,"?*")-D64=0,"",COUNTIF(K7:K60,"Agreement")/(COUNTIF(K7:K60,"?*")-D64))</f>
        <v/>
      </c>
      <c r="E65" s="8" t="str">
        <f aca="false">IF(D65="","",IF(D65&gt;=0.8,"High",IF(D65&gt;=0.6,"Medium","Low")))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5147"/>
    <pageSetUpPr fitToPage="tru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11"/>
    <col collapsed="false" customWidth="true" hidden="false" outlineLevel="0" max="8" min="8" style="0" width="48"/>
    <col collapsed="false" customWidth="true" hidden="false" outlineLevel="0" max="9" min="9" style="0" width="9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191</v>
      </c>
    </row>
    <row r="3" customFormat="false" ht="15" hidden="false" customHeight="false" outlineLevel="0" collapsed="false">
      <c r="A3" s="3" t="s">
        <v>192</v>
      </c>
    </row>
    <row r="4" customFormat="false" ht="15" hidden="false" customHeight="true" outlineLevel="0" collapsed="false"/>
    <row r="5" customFormat="false" ht="15" hidden="false" customHeight="true" outlineLevel="0" collapsed="false"/>
    <row r="6" customFormat="false" ht="27" hidden="false" customHeight="true" outlineLevel="0" collapsed="false">
      <c r="A6" s="4" t="s">
        <v>161</v>
      </c>
      <c r="B6" s="5" t="s">
        <v>70</v>
      </c>
      <c r="C6" s="5" t="s">
        <v>101</v>
      </c>
      <c r="D6" s="5" t="s">
        <v>186</v>
      </c>
      <c r="E6" s="5" t="s">
        <v>183</v>
      </c>
      <c r="F6" s="5" t="s">
        <v>185</v>
      </c>
      <c r="G6" s="5" t="s">
        <v>193</v>
      </c>
      <c r="H6" s="5" t="s">
        <v>194</v>
      </c>
      <c r="I6" s="5" t="s">
        <v>195</v>
      </c>
      <c r="J6" s="5" t="s">
        <v>196</v>
      </c>
    </row>
    <row r="7" customFormat="false" ht="15" hidden="false" customHeight="true" outlineLevel="0" collapsed="false">
      <c r="A7" s="6" t="str">
        <f aca="false">"K1"&amp;IF('00 Setup'!B16="",""," · "&amp;'00 Setup'!B16)</f>
        <v>K1</v>
      </c>
      <c r="B7" s="7" t="s">
        <v>107</v>
      </c>
      <c r="C7" s="7" t="str">
        <f aca="false">IF('01 Rubric'!B8="","",'01 Rubric'!B8)</f>
        <v>Technical accounting and IFRS application</v>
      </c>
      <c r="D7" s="7" t="str">
        <f aca="false">'03 Divergence'!K7</f>
        <v/>
      </c>
      <c r="E7" s="17" t="str">
        <f aca="false">'03 Divergence'!H7</f>
        <v/>
      </c>
      <c r="F7" s="17" t="str">
        <f aca="false">'03 Divergence'!J7</f>
        <v/>
      </c>
      <c r="G7" s="16"/>
      <c r="H7" s="9"/>
      <c r="I7" s="10" t="str">
        <f aca="false">IF(D7="","",IF(D7="No evidence",0,IF(OR(D7="Divergence",D7="Contradiction"),IF(G7="",F7,G7),F7)))</f>
        <v/>
      </c>
      <c r="J7" s="6" t="str">
        <f aca="false">IF(D7="","",IF(D7="No evidence","No evidence",IF(OR(D7="Divergence",D7="Contradiction"),IF(G7="","Unresolved",IF(H7="","Reason missing","Calibrated")),"Agreement")))</f>
        <v/>
      </c>
    </row>
    <row r="8" customFormat="false" ht="15" hidden="false" customHeight="true" outlineLevel="0" collapsed="false">
      <c r="A8" s="6" t="str">
        <f aca="false">"K1"&amp;IF('00 Setup'!B16="",""," · "&amp;'00 Setup'!B16)</f>
        <v>K1</v>
      </c>
      <c r="B8" s="7" t="s">
        <v>113</v>
      </c>
      <c r="C8" s="7" t="str">
        <f aca="false">IF('01 Rubric'!B9="","",'01 Rubric'!B9)</f>
        <v>Financial reporting and close ownership</v>
      </c>
      <c r="D8" s="7" t="str">
        <f aca="false">'03 Divergence'!K8</f>
        <v/>
      </c>
      <c r="E8" s="17" t="str">
        <f aca="false">'03 Divergence'!H8</f>
        <v/>
      </c>
      <c r="F8" s="17" t="str">
        <f aca="false">'03 Divergence'!J8</f>
        <v/>
      </c>
      <c r="G8" s="16"/>
      <c r="H8" s="9"/>
      <c r="I8" s="10" t="str">
        <f aca="false">IF(D8="","",IF(D8="No evidence",0,IF(OR(D8="Divergence",D8="Contradiction"),IF(G8="",F8,G8),F8)))</f>
        <v/>
      </c>
      <c r="J8" s="6" t="str">
        <f aca="false">IF(D8="","",IF(D8="No evidence","No evidence",IF(OR(D8="Divergence",D8="Contradiction"),IF(G8="","Unresolved",IF(H8="","Reason missing","Calibrated")),"Agreement")))</f>
        <v/>
      </c>
    </row>
    <row r="9" customFormat="false" ht="15" hidden="false" customHeight="true" outlineLevel="0" collapsed="false">
      <c r="A9" s="6" t="str">
        <f aca="false">"K1"&amp;IF('00 Setup'!B16="",""," · "&amp;'00 Setup'!B16)</f>
        <v>K1</v>
      </c>
      <c r="B9" s="7" t="s">
        <v>118</v>
      </c>
      <c r="C9" s="7" t="str">
        <f aca="false">IF('01 Rubric'!B10="","",'01 Rubric'!B10)</f>
        <v>Controls, compliance and audit readiness</v>
      </c>
      <c r="D9" s="7" t="str">
        <f aca="false">'03 Divergence'!K9</f>
        <v/>
      </c>
      <c r="E9" s="17" t="str">
        <f aca="false">'03 Divergence'!H9</f>
        <v/>
      </c>
      <c r="F9" s="17" t="str">
        <f aca="false">'03 Divergence'!J9</f>
        <v/>
      </c>
      <c r="G9" s="16"/>
      <c r="H9" s="9"/>
      <c r="I9" s="10" t="str">
        <f aca="false">IF(D9="","",IF(D9="No evidence",0,IF(OR(D9="Divergence",D9="Contradiction"),IF(G9="",F9,G9),F9)))</f>
        <v/>
      </c>
      <c r="J9" s="6" t="str">
        <f aca="false">IF(D9="","",IF(D9="No evidence","No evidence",IF(OR(D9="Divergence",D9="Contradiction"),IF(G9="","Unresolved",IF(H9="","Reason missing","Calibrated")),"Agreement")))</f>
        <v/>
      </c>
    </row>
    <row r="10" customFormat="false" ht="15" hidden="false" customHeight="true" outlineLevel="0" collapsed="false">
      <c r="A10" s="6" t="str">
        <f aca="false">"K1"&amp;IF('00 Setup'!B16="",""," · "&amp;'00 Setup'!B16)</f>
        <v>K1</v>
      </c>
      <c r="B10" s="7" t="s">
        <v>123</v>
      </c>
      <c r="C10" s="7" t="str">
        <f aca="false">IF('01 Rubric'!B11="","",'01 Rubric'!B11)</f>
        <v>Planning, budgeting and forecasting</v>
      </c>
      <c r="D10" s="7" t="str">
        <f aca="false">'03 Divergence'!K10</f>
        <v/>
      </c>
      <c r="E10" s="17" t="str">
        <f aca="false">'03 Divergence'!H10</f>
        <v/>
      </c>
      <c r="F10" s="17" t="str">
        <f aca="false">'03 Divergence'!J10</f>
        <v/>
      </c>
      <c r="G10" s="16"/>
      <c r="H10" s="9"/>
      <c r="I10" s="10" t="str">
        <f aca="false">IF(D10="","",IF(D10="No evidence",0,IF(OR(D10="Divergence",D10="Contradiction"),IF(G10="",F10,G10),F10)))</f>
        <v/>
      </c>
      <c r="J10" s="6" t="str">
        <f aca="false">IF(D10="","",IF(D10="No evidence","No evidence",IF(OR(D10="Divergence",D10="Contradiction"),IF(G10="","Unresolved",IF(H10="","Reason missing","Calibrated")),"Agreement")))</f>
        <v/>
      </c>
    </row>
    <row r="11" customFormat="false" ht="15" hidden="false" customHeight="true" outlineLevel="0" collapsed="false">
      <c r="A11" s="6" t="str">
        <f aca="false">"K1"&amp;IF('00 Setup'!B16="",""," · "&amp;'00 Setup'!B16)</f>
        <v>K1</v>
      </c>
      <c r="B11" s="7" t="s">
        <v>128</v>
      </c>
      <c r="C11" s="7" t="str">
        <f aca="false">IF('01 Rubric'!B12="","",'01 Rubric'!B12)</f>
        <v>Cash, treasury and working capital</v>
      </c>
      <c r="D11" s="7" t="str">
        <f aca="false">'03 Divergence'!K11</f>
        <v/>
      </c>
      <c r="E11" s="17" t="str">
        <f aca="false">'03 Divergence'!H11</f>
        <v/>
      </c>
      <c r="F11" s="17" t="str">
        <f aca="false">'03 Divergence'!J11</f>
        <v/>
      </c>
      <c r="G11" s="16"/>
      <c r="H11" s="9"/>
      <c r="I11" s="10" t="str">
        <f aca="false">IF(D11="","",IF(D11="No evidence",0,IF(OR(D11="Divergence",D11="Contradiction"),IF(G11="",F11,G11),F11)))</f>
        <v/>
      </c>
      <c r="J11" s="6" t="str">
        <f aca="false">IF(D11="","",IF(D11="No evidence","No evidence",IF(OR(D11="Divergence",D11="Contradiction"),IF(G11="","Unresolved",IF(H11="","Reason missing","Calibrated")),"Agreement")))</f>
        <v/>
      </c>
    </row>
    <row r="12" customFormat="false" ht="15" hidden="false" customHeight="true" outlineLevel="0" collapsed="false">
      <c r="A12" s="6" t="str">
        <f aca="false">"K1"&amp;IF('00 Setup'!B16="",""," · "&amp;'00 Setup'!B16)</f>
        <v>K1</v>
      </c>
      <c r="B12" s="7" t="s">
        <v>134</v>
      </c>
      <c r="C12" s="7" t="str">
        <f aca="false">IF('01 Rubric'!B13="","",'01 Rubric'!B13)</f>
        <v>Systems, data and reporting tooling</v>
      </c>
      <c r="D12" s="7" t="str">
        <f aca="false">'03 Divergence'!K12</f>
        <v/>
      </c>
      <c r="E12" s="17" t="str">
        <f aca="false">'03 Divergence'!H12</f>
        <v/>
      </c>
      <c r="F12" s="17" t="str">
        <f aca="false">'03 Divergence'!J12</f>
        <v/>
      </c>
      <c r="G12" s="16"/>
      <c r="H12" s="9"/>
      <c r="I12" s="10" t="str">
        <f aca="false">IF(D12="","",IF(D12="No evidence",0,IF(OR(D12="Divergence",D12="Contradiction"),IF(G12="",F12,G12),F12)))</f>
        <v/>
      </c>
      <c r="J12" s="6" t="str">
        <f aca="false">IF(D12="","",IF(D12="No evidence","No evidence",IF(OR(D12="Divergence",D12="Contradiction"),IF(G12="","Unresolved",IF(H12="","Reason missing","Calibrated")),"Agreement")))</f>
        <v/>
      </c>
    </row>
    <row r="13" customFormat="false" ht="15" hidden="false" customHeight="true" outlineLevel="0" collapsed="false">
      <c r="A13" s="6" t="str">
        <f aca="false">"K1"&amp;IF('00 Setup'!B16="",""," · "&amp;'00 Setup'!B16)</f>
        <v>K1</v>
      </c>
      <c r="B13" s="7" t="s">
        <v>139</v>
      </c>
      <c r="C13" s="7" t="str">
        <f aca="false">IF('01 Rubric'!B14="","",'01 Rubric'!B14)</f>
        <v>Team leadership and delegation</v>
      </c>
      <c r="D13" s="7" t="str">
        <f aca="false">'03 Divergence'!K13</f>
        <v/>
      </c>
      <c r="E13" s="17" t="str">
        <f aca="false">'03 Divergence'!H13</f>
        <v/>
      </c>
      <c r="F13" s="17" t="str">
        <f aca="false">'03 Divergence'!J13</f>
        <v/>
      </c>
      <c r="G13" s="16"/>
      <c r="H13" s="9"/>
      <c r="I13" s="10" t="str">
        <f aca="false">IF(D13="","",IF(D13="No evidence",0,IF(OR(D13="Divergence",D13="Contradiction"),IF(G13="",F13,G13),F13)))</f>
        <v/>
      </c>
      <c r="J13" s="6" t="str">
        <f aca="false">IF(D13="","",IF(D13="No evidence","No evidence",IF(OR(D13="Divergence",D13="Contradiction"),IF(G13="","Unresolved",IF(H13="","Reason missing","Calibrated")),"Agreement")))</f>
        <v/>
      </c>
    </row>
    <row r="14" customFormat="false" ht="15" hidden="false" customHeight="true" outlineLevel="0" collapsed="false">
      <c r="A14" s="6" t="str">
        <f aca="false">"K1"&amp;IF('00 Setup'!B16="",""," · "&amp;'00 Setup'!B16)</f>
        <v>K1</v>
      </c>
      <c r="B14" s="7" t="s">
        <v>144</v>
      </c>
      <c r="C14" s="7" t="str">
        <f aca="false">IF('01 Rubric'!B15="","",'01 Rubric'!B15)</f>
        <v>Stakeholder communication and reporting</v>
      </c>
      <c r="D14" s="7" t="str">
        <f aca="false">'03 Divergence'!K14</f>
        <v/>
      </c>
      <c r="E14" s="17" t="str">
        <f aca="false">'03 Divergence'!H14</f>
        <v/>
      </c>
      <c r="F14" s="17" t="str">
        <f aca="false">'03 Divergence'!J14</f>
        <v/>
      </c>
      <c r="G14" s="16"/>
      <c r="H14" s="9"/>
      <c r="I14" s="10" t="str">
        <f aca="false">IF(D14="","",IF(D14="No evidence",0,IF(OR(D14="Divergence",D14="Contradiction"),IF(G14="",F14,G14),F14)))</f>
        <v/>
      </c>
      <c r="J14" s="6" t="str">
        <f aca="false">IF(D14="","",IF(D14="No evidence","No evidence",IF(OR(D14="Divergence",D14="Contradiction"),IF(G14="","Unresolved",IF(H14="","Reason missing","Calibrated")),"Agreement")))</f>
        <v/>
      </c>
    </row>
    <row r="15" customFormat="false" ht="15" hidden="false" customHeight="true" outlineLevel="0" collapsed="false">
      <c r="A15" s="6" t="str">
        <f aca="false">"K1"&amp;IF('00 Setup'!B16="",""," · "&amp;'00 Setup'!B16)</f>
        <v>K1</v>
      </c>
      <c r="B15" s="7" t="s">
        <v>149</v>
      </c>
      <c r="C15" s="7" t="str">
        <f aca="false">IF('01 Rubric'!B16="","",'01 Rubric'!B16)</f>
        <v>Jurisdictional and regulatory exposure</v>
      </c>
      <c r="D15" s="7" t="str">
        <f aca="false">'03 Divergence'!K15</f>
        <v/>
      </c>
      <c r="E15" s="17" t="str">
        <f aca="false">'03 Divergence'!H15</f>
        <v/>
      </c>
      <c r="F15" s="17" t="str">
        <f aca="false">'03 Divergence'!J15</f>
        <v/>
      </c>
      <c r="G15" s="16"/>
      <c r="H15" s="9"/>
      <c r="I15" s="10" t="str">
        <f aca="false">IF(D15="","",IF(D15="No evidence",0,IF(OR(D15="Divergence",D15="Contradiction"),IF(G15="",F15,G15),F15)))</f>
        <v/>
      </c>
      <c r="J15" s="6" t="str">
        <f aca="false">IF(D15="","",IF(D15="No evidence","No evidence",IF(OR(D15="Divergence",D15="Contradiction"),IF(G15="","Unresolved",IF(H15="","Reason missing","Calibrated")),"Agreement")))</f>
        <v/>
      </c>
    </row>
    <row r="16" customFormat="false" ht="15" hidden="false" customHeight="true" outlineLevel="0" collapsed="false">
      <c r="A16" s="6" t="str">
        <f aca="false">"K2"&amp;IF('00 Setup'!B17="",""," · "&amp;'00 Setup'!B17)</f>
        <v>K2</v>
      </c>
      <c r="B16" s="7" t="s">
        <v>107</v>
      </c>
      <c r="C16" s="7" t="str">
        <f aca="false">IF('01 Rubric'!B8="","",'01 Rubric'!B8)</f>
        <v>Technical accounting and IFRS application</v>
      </c>
      <c r="D16" s="7" t="str">
        <f aca="false">'03 Divergence'!K16</f>
        <v/>
      </c>
      <c r="E16" s="17" t="str">
        <f aca="false">'03 Divergence'!H16</f>
        <v/>
      </c>
      <c r="F16" s="17" t="str">
        <f aca="false">'03 Divergence'!J16</f>
        <v/>
      </c>
      <c r="G16" s="16"/>
      <c r="H16" s="9"/>
      <c r="I16" s="10" t="str">
        <f aca="false">IF(D16="","",IF(D16="No evidence",0,IF(OR(D16="Divergence",D16="Contradiction"),IF(G16="",F16,G16),F16)))</f>
        <v/>
      </c>
      <c r="J16" s="6" t="str">
        <f aca="false">IF(D16="","",IF(D16="No evidence","No evidence",IF(OR(D16="Divergence",D16="Contradiction"),IF(G16="","Unresolved",IF(H16="","Reason missing","Calibrated")),"Agreement")))</f>
        <v/>
      </c>
    </row>
    <row r="17" customFormat="false" ht="15" hidden="false" customHeight="true" outlineLevel="0" collapsed="false">
      <c r="A17" s="6" t="str">
        <f aca="false">"K2"&amp;IF('00 Setup'!B17="",""," · "&amp;'00 Setup'!B17)</f>
        <v>K2</v>
      </c>
      <c r="B17" s="7" t="s">
        <v>113</v>
      </c>
      <c r="C17" s="7" t="str">
        <f aca="false">IF('01 Rubric'!B9="","",'01 Rubric'!B9)</f>
        <v>Financial reporting and close ownership</v>
      </c>
      <c r="D17" s="7" t="str">
        <f aca="false">'03 Divergence'!K17</f>
        <v/>
      </c>
      <c r="E17" s="17" t="str">
        <f aca="false">'03 Divergence'!H17</f>
        <v/>
      </c>
      <c r="F17" s="17" t="str">
        <f aca="false">'03 Divergence'!J17</f>
        <v/>
      </c>
      <c r="G17" s="16"/>
      <c r="H17" s="9"/>
      <c r="I17" s="10" t="str">
        <f aca="false">IF(D17="","",IF(D17="No evidence",0,IF(OR(D17="Divergence",D17="Contradiction"),IF(G17="",F17,G17),F17)))</f>
        <v/>
      </c>
      <c r="J17" s="6" t="str">
        <f aca="false">IF(D17="","",IF(D17="No evidence","No evidence",IF(OR(D17="Divergence",D17="Contradiction"),IF(G17="","Unresolved",IF(H17="","Reason missing","Calibrated")),"Agreement")))</f>
        <v/>
      </c>
    </row>
    <row r="18" customFormat="false" ht="15" hidden="false" customHeight="true" outlineLevel="0" collapsed="false">
      <c r="A18" s="6" t="str">
        <f aca="false">"K2"&amp;IF('00 Setup'!B17="",""," · "&amp;'00 Setup'!B17)</f>
        <v>K2</v>
      </c>
      <c r="B18" s="7" t="s">
        <v>118</v>
      </c>
      <c r="C18" s="7" t="str">
        <f aca="false">IF('01 Rubric'!B10="","",'01 Rubric'!B10)</f>
        <v>Controls, compliance and audit readiness</v>
      </c>
      <c r="D18" s="7" t="str">
        <f aca="false">'03 Divergence'!K18</f>
        <v/>
      </c>
      <c r="E18" s="17" t="str">
        <f aca="false">'03 Divergence'!H18</f>
        <v/>
      </c>
      <c r="F18" s="17" t="str">
        <f aca="false">'03 Divergence'!J18</f>
        <v/>
      </c>
      <c r="G18" s="16"/>
      <c r="H18" s="9"/>
      <c r="I18" s="10" t="str">
        <f aca="false">IF(D18="","",IF(D18="No evidence",0,IF(OR(D18="Divergence",D18="Contradiction"),IF(G18="",F18,G18),F18)))</f>
        <v/>
      </c>
      <c r="J18" s="6" t="str">
        <f aca="false">IF(D18="","",IF(D18="No evidence","No evidence",IF(OR(D18="Divergence",D18="Contradiction"),IF(G18="","Unresolved",IF(H18="","Reason missing","Calibrated")),"Agreement")))</f>
        <v/>
      </c>
    </row>
    <row r="19" customFormat="false" ht="15" hidden="false" customHeight="true" outlineLevel="0" collapsed="false">
      <c r="A19" s="6" t="str">
        <f aca="false">"K2"&amp;IF('00 Setup'!B17="",""," · "&amp;'00 Setup'!B17)</f>
        <v>K2</v>
      </c>
      <c r="B19" s="7" t="s">
        <v>123</v>
      </c>
      <c r="C19" s="7" t="str">
        <f aca="false">IF('01 Rubric'!B11="","",'01 Rubric'!B11)</f>
        <v>Planning, budgeting and forecasting</v>
      </c>
      <c r="D19" s="7" t="str">
        <f aca="false">'03 Divergence'!K19</f>
        <v/>
      </c>
      <c r="E19" s="17" t="str">
        <f aca="false">'03 Divergence'!H19</f>
        <v/>
      </c>
      <c r="F19" s="17" t="str">
        <f aca="false">'03 Divergence'!J19</f>
        <v/>
      </c>
      <c r="G19" s="16"/>
      <c r="H19" s="9"/>
      <c r="I19" s="10" t="str">
        <f aca="false">IF(D19="","",IF(D19="No evidence",0,IF(OR(D19="Divergence",D19="Contradiction"),IF(G19="",F19,G19),F19)))</f>
        <v/>
      </c>
      <c r="J19" s="6" t="str">
        <f aca="false">IF(D19="","",IF(D19="No evidence","No evidence",IF(OR(D19="Divergence",D19="Contradiction"),IF(G19="","Unresolved",IF(H19="","Reason missing","Calibrated")),"Agreement")))</f>
        <v/>
      </c>
    </row>
    <row r="20" customFormat="false" ht="15" hidden="false" customHeight="true" outlineLevel="0" collapsed="false">
      <c r="A20" s="6" t="str">
        <f aca="false">"K2"&amp;IF('00 Setup'!B17="",""," · "&amp;'00 Setup'!B17)</f>
        <v>K2</v>
      </c>
      <c r="B20" s="7" t="s">
        <v>128</v>
      </c>
      <c r="C20" s="7" t="str">
        <f aca="false">IF('01 Rubric'!B12="","",'01 Rubric'!B12)</f>
        <v>Cash, treasury and working capital</v>
      </c>
      <c r="D20" s="7" t="str">
        <f aca="false">'03 Divergence'!K20</f>
        <v/>
      </c>
      <c r="E20" s="17" t="str">
        <f aca="false">'03 Divergence'!H20</f>
        <v/>
      </c>
      <c r="F20" s="17" t="str">
        <f aca="false">'03 Divergence'!J20</f>
        <v/>
      </c>
      <c r="G20" s="16"/>
      <c r="H20" s="9"/>
      <c r="I20" s="10" t="str">
        <f aca="false">IF(D20="","",IF(D20="No evidence",0,IF(OR(D20="Divergence",D20="Contradiction"),IF(G20="",F20,G20),F20)))</f>
        <v/>
      </c>
      <c r="J20" s="6" t="str">
        <f aca="false">IF(D20="","",IF(D20="No evidence","No evidence",IF(OR(D20="Divergence",D20="Contradiction"),IF(G20="","Unresolved",IF(H20="","Reason missing","Calibrated")),"Agreement")))</f>
        <v/>
      </c>
    </row>
    <row r="21" customFormat="false" ht="15" hidden="false" customHeight="true" outlineLevel="0" collapsed="false">
      <c r="A21" s="6" t="str">
        <f aca="false">"K2"&amp;IF('00 Setup'!B17="",""," · "&amp;'00 Setup'!B17)</f>
        <v>K2</v>
      </c>
      <c r="B21" s="7" t="s">
        <v>134</v>
      </c>
      <c r="C21" s="7" t="str">
        <f aca="false">IF('01 Rubric'!B13="","",'01 Rubric'!B13)</f>
        <v>Systems, data and reporting tooling</v>
      </c>
      <c r="D21" s="7" t="str">
        <f aca="false">'03 Divergence'!K21</f>
        <v/>
      </c>
      <c r="E21" s="17" t="str">
        <f aca="false">'03 Divergence'!H21</f>
        <v/>
      </c>
      <c r="F21" s="17" t="str">
        <f aca="false">'03 Divergence'!J21</f>
        <v/>
      </c>
      <c r="G21" s="16"/>
      <c r="H21" s="9"/>
      <c r="I21" s="10" t="str">
        <f aca="false">IF(D21="","",IF(D21="No evidence",0,IF(OR(D21="Divergence",D21="Contradiction"),IF(G21="",F21,G21),F21)))</f>
        <v/>
      </c>
      <c r="J21" s="6" t="str">
        <f aca="false">IF(D21="","",IF(D21="No evidence","No evidence",IF(OR(D21="Divergence",D21="Contradiction"),IF(G21="","Unresolved",IF(H21="","Reason missing","Calibrated")),"Agreement")))</f>
        <v/>
      </c>
    </row>
    <row r="22" customFormat="false" ht="15" hidden="false" customHeight="true" outlineLevel="0" collapsed="false">
      <c r="A22" s="6" t="str">
        <f aca="false">"K2"&amp;IF('00 Setup'!B17="",""," · "&amp;'00 Setup'!B17)</f>
        <v>K2</v>
      </c>
      <c r="B22" s="7" t="s">
        <v>139</v>
      </c>
      <c r="C22" s="7" t="str">
        <f aca="false">IF('01 Rubric'!B14="","",'01 Rubric'!B14)</f>
        <v>Team leadership and delegation</v>
      </c>
      <c r="D22" s="7" t="str">
        <f aca="false">'03 Divergence'!K22</f>
        <v/>
      </c>
      <c r="E22" s="17" t="str">
        <f aca="false">'03 Divergence'!H22</f>
        <v/>
      </c>
      <c r="F22" s="17" t="str">
        <f aca="false">'03 Divergence'!J22</f>
        <v/>
      </c>
      <c r="G22" s="16"/>
      <c r="H22" s="9"/>
      <c r="I22" s="10" t="str">
        <f aca="false">IF(D22="","",IF(D22="No evidence",0,IF(OR(D22="Divergence",D22="Contradiction"),IF(G22="",F22,G22),F22)))</f>
        <v/>
      </c>
      <c r="J22" s="6" t="str">
        <f aca="false">IF(D22="","",IF(D22="No evidence","No evidence",IF(OR(D22="Divergence",D22="Contradiction"),IF(G22="","Unresolved",IF(H22="","Reason missing","Calibrated")),"Agreement")))</f>
        <v/>
      </c>
    </row>
    <row r="23" customFormat="false" ht="15" hidden="false" customHeight="true" outlineLevel="0" collapsed="false">
      <c r="A23" s="6" t="str">
        <f aca="false">"K2"&amp;IF('00 Setup'!B17="",""," · "&amp;'00 Setup'!B17)</f>
        <v>K2</v>
      </c>
      <c r="B23" s="7" t="s">
        <v>144</v>
      </c>
      <c r="C23" s="7" t="str">
        <f aca="false">IF('01 Rubric'!B15="","",'01 Rubric'!B15)</f>
        <v>Stakeholder communication and reporting</v>
      </c>
      <c r="D23" s="7" t="str">
        <f aca="false">'03 Divergence'!K23</f>
        <v/>
      </c>
      <c r="E23" s="17" t="str">
        <f aca="false">'03 Divergence'!H23</f>
        <v/>
      </c>
      <c r="F23" s="17" t="str">
        <f aca="false">'03 Divergence'!J23</f>
        <v/>
      </c>
      <c r="G23" s="16"/>
      <c r="H23" s="9"/>
      <c r="I23" s="10" t="str">
        <f aca="false">IF(D23="","",IF(D23="No evidence",0,IF(OR(D23="Divergence",D23="Contradiction"),IF(G23="",F23,G23),F23)))</f>
        <v/>
      </c>
      <c r="J23" s="6" t="str">
        <f aca="false">IF(D23="","",IF(D23="No evidence","No evidence",IF(OR(D23="Divergence",D23="Contradiction"),IF(G23="","Unresolved",IF(H23="","Reason missing","Calibrated")),"Agreement")))</f>
        <v/>
      </c>
    </row>
    <row r="24" customFormat="false" ht="15" hidden="false" customHeight="true" outlineLevel="0" collapsed="false">
      <c r="A24" s="6" t="str">
        <f aca="false">"K2"&amp;IF('00 Setup'!B17="",""," · "&amp;'00 Setup'!B17)</f>
        <v>K2</v>
      </c>
      <c r="B24" s="7" t="s">
        <v>149</v>
      </c>
      <c r="C24" s="7" t="str">
        <f aca="false">IF('01 Rubric'!B16="","",'01 Rubric'!B16)</f>
        <v>Jurisdictional and regulatory exposure</v>
      </c>
      <c r="D24" s="7" t="str">
        <f aca="false">'03 Divergence'!K24</f>
        <v/>
      </c>
      <c r="E24" s="17" t="str">
        <f aca="false">'03 Divergence'!H24</f>
        <v/>
      </c>
      <c r="F24" s="17" t="str">
        <f aca="false">'03 Divergence'!J24</f>
        <v/>
      </c>
      <c r="G24" s="16"/>
      <c r="H24" s="9"/>
      <c r="I24" s="10" t="str">
        <f aca="false">IF(D24="","",IF(D24="No evidence",0,IF(OR(D24="Divergence",D24="Contradiction"),IF(G24="",F24,G24),F24)))</f>
        <v/>
      </c>
      <c r="J24" s="6" t="str">
        <f aca="false">IF(D24="","",IF(D24="No evidence","No evidence",IF(OR(D24="Divergence",D24="Contradiction"),IF(G24="","Unresolved",IF(H24="","Reason missing","Calibrated")),"Agreement")))</f>
        <v/>
      </c>
    </row>
    <row r="25" customFormat="false" ht="15" hidden="false" customHeight="true" outlineLevel="0" collapsed="false">
      <c r="A25" s="6" t="str">
        <f aca="false">"K3"&amp;IF('00 Setup'!B18="",""," · "&amp;'00 Setup'!B18)</f>
        <v>K3</v>
      </c>
      <c r="B25" s="7" t="s">
        <v>107</v>
      </c>
      <c r="C25" s="7" t="str">
        <f aca="false">IF('01 Rubric'!B8="","",'01 Rubric'!B8)</f>
        <v>Technical accounting and IFRS application</v>
      </c>
      <c r="D25" s="7" t="str">
        <f aca="false">'03 Divergence'!K25</f>
        <v/>
      </c>
      <c r="E25" s="17" t="str">
        <f aca="false">'03 Divergence'!H25</f>
        <v/>
      </c>
      <c r="F25" s="17" t="str">
        <f aca="false">'03 Divergence'!J25</f>
        <v/>
      </c>
      <c r="G25" s="16"/>
      <c r="H25" s="9"/>
      <c r="I25" s="10" t="str">
        <f aca="false">IF(D25="","",IF(D25="No evidence",0,IF(OR(D25="Divergence",D25="Contradiction"),IF(G25="",F25,G25),F25)))</f>
        <v/>
      </c>
      <c r="J25" s="6" t="str">
        <f aca="false">IF(D25="","",IF(D25="No evidence","No evidence",IF(OR(D25="Divergence",D25="Contradiction"),IF(G25="","Unresolved",IF(H25="","Reason missing","Calibrated")),"Agreement")))</f>
        <v/>
      </c>
    </row>
    <row r="26" customFormat="false" ht="15" hidden="false" customHeight="true" outlineLevel="0" collapsed="false">
      <c r="A26" s="6" t="str">
        <f aca="false">"K3"&amp;IF('00 Setup'!B18="",""," · "&amp;'00 Setup'!B18)</f>
        <v>K3</v>
      </c>
      <c r="B26" s="7" t="s">
        <v>113</v>
      </c>
      <c r="C26" s="7" t="str">
        <f aca="false">IF('01 Rubric'!B9="","",'01 Rubric'!B9)</f>
        <v>Financial reporting and close ownership</v>
      </c>
      <c r="D26" s="7" t="str">
        <f aca="false">'03 Divergence'!K26</f>
        <v/>
      </c>
      <c r="E26" s="17" t="str">
        <f aca="false">'03 Divergence'!H26</f>
        <v/>
      </c>
      <c r="F26" s="17" t="str">
        <f aca="false">'03 Divergence'!J26</f>
        <v/>
      </c>
      <c r="G26" s="16"/>
      <c r="H26" s="9"/>
      <c r="I26" s="10" t="str">
        <f aca="false">IF(D26="","",IF(D26="No evidence",0,IF(OR(D26="Divergence",D26="Contradiction"),IF(G26="",F26,G26),F26)))</f>
        <v/>
      </c>
      <c r="J26" s="6" t="str">
        <f aca="false">IF(D26="","",IF(D26="No evidence","No evidence",IF(OR(D26="Divergence",D26="Contradiction"),IF(G26="","Unresolved",IF(H26="","Reason missing","Calibrated")),"Agreement")))</f>
        <v/>
      </c>
    </row>
    <row r="27" customFormat="false" ht="15" hidden="false" customHeight="true" outlineLevel="0" collapsed="false">
      <c r="A27" s="6" t="str">
        <f aca="false">"K3"&amp;IF('00 Setup'!B18="",""," · "&amp;'00 Setup'!B18)</f>
        <v>K3</v>
      </c>
      <c r="B27" s="7" t="s">
        <v>118</v>
      </c>
      <c r="C27" s="7" t="str">
        <f aca="false">IF('01 Rubric'!B10="","",'01 Rubric'!B10)</f>
        <v>Controls, compliance and audit readiness</v>
      </c>
      <c r="D27" s="7" t="str">
        <f aca="false">'03 Divergence'!K27</f>
        <v/>
      </c>
      <c r="E27" s="17" t="str">
        <f aca="false">'03 Divergence'!H27</f>
        <v/>
      </c>
      <c r="F27" s="17" t="str">
        <f aca="false">'03 Divergence'!J27</f>
        <v/>
      </c>
      <c r="G27" s="16"/>
      <c r="H27" s="9"/>
      <c r="I27" s="10" t="str">
        <f aca="false">IF(D27="","",IF(D27="No evidence",0,IF(OR(D27="Divergence",D27="Contradiction"),IF(G27="",F27,G27),F27)))</f>
        <v/>
      </c>
      <c r="J27" s="6" t="str">
        <f aca="false">IF(D27="","",IF(D27="No evidence","No evidence",IF(OR(D27="Divergence",D27="Contradiction"),IF(G27="","Unresolved",IF(H27="","Reason missing","Calibrated")),"Agreement")))</f>
        <v/>
      </c>
    </row>
    <row r="28" customFormat="false" ht="15" hidden="false" customHeight="true" outlineLevel="0" collapsed="false">
      <c r="A28" s="6" t="str">
        <f aca="false">"K3"&amp;IF('00 Setup'!B18="",""," · "&amp;'00 Setup'!B18)</f>
        <v>K3</v>
      </c>
      <c r="B28" s="7" t="s">
        <v>123</v>
      </c>
      <c r="C28" s="7" t="str">
        <f aca="false">IF('01 Rubric'!B11="","",'01 Rubric'!B11)</f>
        <v>Planning, budgeting and forecasting</v>
      </c>
      <c r="D28" s="7" t="str">
        <f aca="false">'03 Divergence'!K28</f>
        <v/>
      </c>
      <c r="E28" s="17" t="str">
        <f aca="false">'03 Divergence'!H28</f>
        <v/>
      </c>
      <c r="F28" s="17" t="str">
        <f aca="false">'03 Divergence'!J28</f>
        <v/>
      </c>
      <c r="G28" s="16"/>
      <c r="H28" s="9"/>
      <c r="I28" s="10" t="str">
        <f aca="false">IF(D28="","",IF(D28="No evidence",0,IF(OR(D28="Divergence",D28="Contradiction"),IF(G28="",F28,G28),F28)))</f>
        <v/>
      </c>
      <c r="J28" s="6" t="str">
        <f aca="false">IF(D28="","",IF(D28="No evidence","No evidence",IF(OR(D28="Divergence",D28="Contradiction"),IF(G28="","Unresolved",IF(H28="","Reason missing","Calibrated")),"Agreement")))</f>
        <v/>
      </c>
    </row>
    <row r="29" customFormat="false" ht="15" hidden="false" customHeight="true" outlineLevel="0" collapsed="false">
      <c r="A29" s="6" t="str">
        <f aca="false">"K3"&amp;IF('00 Setup'!B18="",""," · "&amp;'00 Setup'!B18)</f>
        <v>K3</v>
      </c>
      <c r="B29" s="7" t="s">
        <v>128</v>
      </c>
      <c r="C29" s="7" t="str">
        <f aca="false">IF('01 Rubric'!B12="","",'01 Rubric'!B12)</f>
        <v>Cash, treasury and working capital</v>
      </c>
      <c r="D29" s="7" t="str">
        <f aca="false">'03 Divergence'!K29</f>
        <v/>
      </c>
      <c r="E29" s="17" t="str">
        <f aca="false">'03 Divergence'!H29</f>
        <v/>
      </c>
      <c r="F29" s="17" t="str">
        <f aca="false">'03 Divergence'!J29</f>
        <v/>
      </c>
      <c r="G29" s="16"/>
      <c r="H29" s="9"/>
      <c r="I29" s="10" t="str">
        <f aca="false">IF(D29="","",IF(D29="No evidence",0,IF(OR(D29="Divergence",D29="Contradiction"),IF(G29="",F29,G29),F29)))</f>
        <v/>
      </c>
      <c r="J29" s="6" t="str">
        <f aca="false">IF(D29="","",IF(D29="No evidence","No evidence",IF(OR(D29="Divergence",D29="Contradiction"),IF(G29="","Unresolved",IF(H29="","Reason missing","Calibrated")),"Agreement")))</f>
        <v/>
      </c>
    </row>
    <row r="30" customFormat="false" ht="15" hidden="false" customHeight="true" outlineLevel="0" collapsed="false">
      <c r="A30" s="6" t="str">
        <f aca="false">"K3"&amp;IF('00 Setup'!B18="",""," · "&amp;'00 Setup'!B18)</f>
        <v>K3</v>
      </c>
      <c r="B30" s="7" t="s">
        <v>134</v>
      </c>
      <c r="C30" s="7" t="str">
        <f aca="false">IF('01 Rubric'!B13="","",'01 Rubric'!B13)</f>
        <v>Systems, data and reporting tooling</v>
      </c>
      <c r="D30" s="7" t="str">
        <f aca="false">'03 Divergence'!K30</f>
        <v/>
      </c>
      <c r="E30" s="17" t="str">
        <f aca="false">'03 Divergence'!H30</f>
        <v/>
      </c>
      <c r="F30" s="17" t="str">
        <f aca="false">'03 Divergence'!J30</f>
        <v/>
      </c>
      <c r="G30" s="16"/>
      <c r="H30" s="9"/>
      <c r="I30" s="10" t="str">
        <f aca="false">IF(D30="","",IF(D30="No evidence",0,IF(OR(D30="Divergence",D30="Contradiction"),IF(G30="",F30,G30),F30)))</f>
        <v/>
      </c>
      <c r="J30" s="6" t="str">
        <f aca="false">IF(D30="","",IF(D30="No evidence","No evidence",IF(OR(D30="Divergence",D30="Contradiction"),IF(G30="","Unresolved",IF(H30="","Reason missing","Calibrated")),"Agreement")))</f>
        <v/>
      </c>
    </row>
    <row r="31" customFormat="false" ht="15" hidden="false" customHeight="true" outlineLevel="0" collapsed="false">
      <c r="A31" s="6" t="str">
        <f aca="false">"K3"&amp;IF('00 Setup'!B18="",""," · "&amp;'00 Setup'!B18)</f>
        <v>K3</v>
      </c>
      <c r="B31" s="7" t="s">
        <v>139</v>
      </c>
      <c r="C31" s="7" t="str">
        <f aca="false">IF('01 Rubric'!B14="","",'01 Rubric'!B14)</f>
        <v>Team leadership and delegation</v>
      </c>
      <c r="D31" s="7" t="str">
        <f aca="false">'03 Divergence'!K31</f>
        <v/>
      </c>
      <c r="E31" s="17" t="str">
        <f aca="false">'03 Divergence'!H31</f>
        <v/>
      </c>
      <c r="F31" s="17" t="str">
        <f aca="false">'03 Divergence'!J31</f>
        <v/>
      </c>
      <c r="G31" s="16"/>
      <c r="H31" s="9"/>
      <c r="I31" s="10" t="str">
        <f aca="false">IF(D31="","",IF(D31="No evidence",0,IF(OR(D31="Divergence",D31="Contradiction"),IF(G31="",F31,G31),F31)))</f>
        <v/>
      </c>
      <c r="J31" s="6" t="str">
        <f aca="false">IF(D31="","",IF(D31="No evidence","No evidence",IF(OR(D31="Divergence",D31="Contradiction"),IF(G31="","Unresolved",IF(H31="","Reason missing","Calibrated")),"Agreement")))</f>
        <v/>
      </c>
    </row>
    <row r="32" customFormat="false" ht="15" hidden="false" customHeight="true" outlineLevel="0" collapsed="false">
      <c r="A32" s="6" t="str">
        <f aca="false">"K3"&amp;IF('00 Setup'!B18="",""," · "&amp;'00 Setup'!B18)</f>
        <v>K3</v>
      </c>
      <c r="B32" s="7" t="s">
        <v>144</v>
      </c>
      <c r="C32" s="7" t="str">
        <f aca="false">IF('01 Rubric'!B15="","",'01 Rubric'!B15)</f>
        <v>Stakeholder communication and reporting</v>
      </c>
      <c r="D32" s="7" t="str">
        <f aca="false">'03 Divergence'!K32</f>
        <v/>
      </c>
      <c r="E32" s="17" t="str">
        <f aca="false">'03 Divergence'!H32</f>
        <v/>
      </c>
      <c r="F32" s="17" t="str">
        <f aca="false">'03 Divergence'!J32</f>
        <v/>
      </c>
      <c r="G32" s="16"/>
      <c r="H32" s="9"/>
      <c r="I32" s="10" t="str">
        <f aca="false">IF(D32="","",IF(D32="No evidence",0,IF(OR(D32="Divergence",D32="Contradiction"),IF(G32="",F32,G32),F32)))</f>
        <v/>
      </c>
      <c r="J32" s="6" t="str">
        <f aca="false">IF(D32="","",IF(D32="No evidence","No evidence",IF(OR(D32="Divergence",D32="Contradiction"),IF(G32="","Unresolved",IF(H32="","Reason missing","Calibrated")),"Agreement")))</f>
        <v/>
      </c>
    </row>
    <row r="33" customFormat="false" ht="15" hidden="false" customHeight="true" outlineLevel="0" collapsed="false">
      <c r="A33" s="6" t="str">
        <f aca="false">"K3"&amp;IF('00 Setup'!B18="",""," · "&amp;'00 Setup'!B18)</f>
        <v>K3</v>
      </c>
      <c r="B33" s="7" t="s">
        <v>149</v>
      </c>
      <c r="C33" s="7" t="str">
        <f aca="false">IF('01 Rubric'!B16="","",'01 Rubric'!B16)</f>
        <v>Jurisdictional and regulatory exposure</v>
      </c>
      <c r="D33" s="7" t="str">
        <f aca="false">'03 Divergence'!K33</f>
        <v/>
      </c>
      <c r="E33" s="17" t="str">
        <f aca="false">'03 Divergence'!H33</f>
        <v/>
      </c>
      <c r="F33" s="17" t="str">
        <f aca="false">'03 Divergence'!J33</f>
        <v/>
      </c>
      <c r="G33" s="16"/>
      <c r="H33" s="9"/>
      <c r="I33" s="10" t="str">
        <f aca="false">IF(D33="","",IF(D33="No evidence",0,IF(OR(D33="Divergence",D33="Contradiction"),IF(G33="",F33,G33),F33)))</f>
        <v/>
      </c>
      <c r="J33" s="6" t="str">
        <f aca="false">IF(D33="","",IF(D33="No evidence","No evidence",IF(OR(D33="Divergence",D33="Contradiction"),IF(G33="","Unresolved",IF(H33="","Reason missing","Calibrated")),"Agreement")))</f>
        <v/>
      </c>
    </row>
    <row r="34" customFormat="false" ht="15" hidden="false" customHeight="true" outlineLevel="0" collapsed="false">
      <c r="A34" s="6" t="str">
        <f aca="false">"K4"&amp;IF('00 Setup'!B19="",""," · "&amp;'00 Setup'!B19)</f>
        <v>K4</v>
      </c>
      <c r="B34" s="7" t="s">
        <v>107</v>
      </c>
      <c r="C34" s="7" t="str">
        <f aca="false">IF('01 Rubric'!B8="","",'01 Rubric'!B8)</f>
        <v>Technical accounting and IFRS application</v>
      </c>
      <c r="D34" s="7" t="str">
        <f aca="false">'03 Divergence'!K34</f>
        <v/>
      </c>
      <c r="E34" s="17" t="str">
        <f aca="false">'03 Divergence'!H34</f>
        <v/>
      </c>
      <c r="F34" s="17" t="str">
        <f aca="false">'03 Divergence'!J34</f>
        <v/>
      </c>
      <c r="G34" s="16"/>
      <c r="H34" s="9"/>
      <c r="I34" s="10" t="str">
        <f aca="false">IF(D34="","",IF(D34="No evidence",0,IF(OR(D34="Divergence",D34="Contradiction"),IF(G34="",F34,G34),F34)))</f>
        <v/>
      </c>
      <c r="J34" s="6" t="str">
        <f aca="false">IF(D34="","",IF(D34="No evidence","No evidence",IF(OR(D34="Divergence",D34="Contradiction"),IF(G34="","Unresolved",IF(H34="","Reason missing","Calibrated")),"Agreement")))</f>
        <v/>
      </c>
    </row>
    <row r="35" customFormat="false" ht="15" hidden="false" customHeight="true" outlineLevel="0" collapsed="false">
      <c r="A35" s="6" t="str">
        <f aca="false">"K4"&amp;IF('00 Setup'!B19="",""," · "&amp;'00 Setup'!B19)</f>
        <v>K4</v>
      </c>
      <c r="B35" s="7" t="s">
        <v>113</v>
      </c>
      <c r="C35" s="7" t="str">
        <f aca="false">IF('01 Rubric'!B9="","",'01 Rubric'!B9)</f>
        <v>Financial reporting and close ownership</v>
      </c>
      <c r="D35" s="7" t="str">
        <f aca="false">'03 Divergence'!K35</f>
        <v/>
      </c>
      <c r="E35" s="17" t="str">
        <f aca="false">'03 Divergence'!H35</f>
        <v/>
      </c>
      <c r="F35" s="17" t="str">
        <f aca="false">'03 Divergence'!J35</f>
        <v/>
      </c>
      <c r="G35" s="16"/>
      <c r="H35" s="9"/>
      <c r="I35" s="10" t="str">
        <f aca="false">IF(D35="","",IF(D35="No evidence",0,IF(OR(D35="Divergence",D35="Contradiction"),IF(G35="",F35,G35),F35)))</f>
        <v/>
      </c>
      <c r="J35" s="6" t="str">
        <f aca="false">IF(D35="","",IF(D35="No evidence","No evidence",IF(OR(D35="Divergence",D35="Contradiction"),IF(G35="","Unresolved",IF(H35="","Reason missing","Calibrated")),"Agreement")))</f>
        <v/>
      </c>
    </row>
    <row r="36" customFormat="false" ht="15" hidden="false" customHeight="true" outlineLevel="0" collapsed="false">
      <c r="A36" s="6" t="str">
        <f aca="false">"K4"&amp;IF('00 Setup'!B19="",""," · "&amp;'00 Setup'!B19)</f>
        <v>K4</v>
      </c>
      <c r="B36" s="7" t="s">
        <v>118</v>
      </c>
      <c r="C36" s="7" t="str">
        <f aca="false">IF('01 Rubric'!B10="","",'01 Rubric'!B10)</f>
        <v>Controls, compliance and audit readiness</v>
      </c>
      <c r="D36" s="7" t="str">
        <f aca="false">'03 Divergence'!K36</f>
        <v/>
      </c>
      <c r="E36" s="17" t="str">
        <f aca="false">'03 Divergence'!H36</f>
        <v/>
      </c>
      <c r="F36" s="17" t="str">
        <f aca="false">'03 Divergence'!J36</f>
        <v/>
      </c>
      <c r="G36" s="16"/>
      <c r="H36" s="9"/>
      <c r="I36" s="10" t="str">
        <f aca="false">IF(D36="","",IF(D36="No evidence",0,IF(OR(D36="Divergence",D36="Contradiction"),IF(G36="",F36,G36),F36)))</f>
        <v/>
      </c>
      <c r="J36" s="6" t="str">
        <f aca="false">IF(D36="","",IF(D36="No evidence","No evidence",IF(OR(D36="Divergence",D36="Contradiction"),IF(G36="","Unresolved",IF(H36="","Reason missing","Calibrated")),"Agreement")))</f>
        <v/>
      </c>
    </row>
    <row r="37" customFormat="false" ht="15" hidden="false" customHeight="true" outlineLevel="0" collapsed="false">
      <c r="A37" s="6" t="str">
        <f aca="false">"K4"&amp;IF('00 Setup'!B19="",""," · "&amp;'00 Setup'!B19)</f>
        <v>K4</v>
      </c>
      <c r="B37" s="7" t="s">
        <v>123</v>
      </c>
      <c r="C37" s="7" t="str">
        <f aca="false">IF('01 Rubric'!B11="","",'01 Rubric'!B11)</f>
        <v>Planning, budgeting and forecasting</v>
      </c>
      <c r="D37" s="7" t="str">
        <f aca="false">'03 Divergence'!K37</f>
        <v/>
      </c>
      <c r="E37" s="17" t="str">
        <f aca="false">'03 Divergence'!H37</f>
        <v/>
      </c>
      <c r="F37" s="17" t="str">
        <f aca="false">'03 Divergence'!J37</f>
        <v/>
      </c>
      <c r="G37" s="16"/>
      <c r="H37" s="9"/>
      <c r="I37" s="10" t="str">
        <f aca="false">IF(D37="","",IF(D37="No evidence",0,IF(OR(D37="Divergence",D37="Contradiction"),IF(G37="",F37,G37),F37)))</f>
        <v/>
      </c>
      <c r="J37" s="6" t="str">
        <f aca="false">IF(D37="","",IF(D37="No evidence","No evidence",IF(OR(D37="Divergence",D37="Contradiction"),IF(G37="","Unresolved",IF(H37="","Reason missing","Calibrated")),"Agreement")))</f>
        <v/>
      </c>
    </row>
    <row r="38" customFormat="false" ht="15" hidden="false" customHeight="true" outlineLevel="0" collapsed="false">
      <c r="A38" s="6" t="str">
        <f aca="false">"K4"&amp;IF('00 Setup'!B19="",""," · "&amp;'00 Setup'!B19)</f>
        <v>K4</v>
      </c>
      <c r="B38" s="7" t="s">
        <v>128</v>
      </c>
      <c r="C38" s="7" t="str">
        <f aca="false">IF('01 Rubric'!B12="","",'01 Rubric'!B12)</f>
        <v>Cash, treasury and working capital</v>
      </c>
      <c r="D38" s="7" t="str">
        <f aca="false">'03 Divergence'!K38</f>
        <v/>
      </c>
      <c r="E38" s="17" t="str">
        <f aca="false">'03 Divergence'!H38</f>
        <v/>
      </c>
      <c r="F38" s="17" t="str">
        <f aca="false">'03 Divergence'!J38</f>
        <v/>
      </c>
      <c r="G38" s="16"/>
      <c r="H38" s="9"/>
      <c r="I38" s="10" t="str">
        <f aca="false">IF(D38="","",IF(D38="No evidence",0,IF(OR(D38="Divergence",D38="Contradiction"),IF(G38="",F38,G38),F38)))</f>
        <v/>
      </c>
      <c r="J38" s="6" t="str">
        <f aca="false">IF(D38="","",IF(D38="No evidence","No evidence",IF(OR(D38="Divergence",D38="Contradiction"),IF(G38="","Unresolved",IF(H38="","Reason missing","Calibrated")),"Agreement")))</f>
        <v/>
      </c>
    </row>
    <row r="39" customFormat="false" ht="15" hidden="false" customHeight="true" outlineLevel="0" collapsed="false">
      <c r="A39" s="6" t="str">
        <f aca="false">"K4"&amp;IF('00 Setup'!B19="",""," · "&amp;'00 Setup'!B19)</f>
        <v>K4</v>
      </c>
      <c r="B39" s="7" t="s">
        <v>134</v>
      </c>
      <c r="C39" s="7" t="str">
        <f aca="false">IF('01 Rubric'!B13="","",'01 Rubric'!B13)</f>
        <v>Systems, data and reporting tooling</v>
      </c>
      <c r="D39" s="7" t="str">
        <f aca="false">'03 Divergence'!K39</f>
        <v/>
      </c>
      <c r="E39" s="17" t="str">
        <f aca="false">'03 Divergence'!H39</f>
        <v/>
      </c>
      <c r="F39" s="17" t="str">
        <f aca="false">'03 Divergence'!J39</f>
        <v/>
      </c>
      <c r="G39" s="16"/>
      <c r="H39" s="9"/>
      <c r="I39" s="10" t="str">
        <f aca="false">IF(D39="","",IF(D39="No evidence",0,IF(OR(D39="Divergence",D39="Contradiction"),IF(G39="",F39,G39),F39)))</f>
        <v/>
      </c>
      <c r="J39" s="6" t="str">
        <f aca="false">IF(D39="","",IF(D39="No evidence","No evidence",IF(OR(D39="Divergence",D39="Contradiction"),IF(G39="","Unresolved",IF(H39="","Reason missing","Calibrated")),"Agreement")))</f>
        <v/>
      </c>
    </row>
    <row r="40" customFormat="false" ht="15" hidden="false" customHeight="true" outlineLevel="0" collapsed="false">
      <c r="A40" s="6" t="str">
        <f aca="false">"K4"&amp;IF('00 Setup'!B19="",""," · "&amp;'00 Setup'!B19)</f>
        <v>K4</v>
      </c>
      <c r="B40" s="7" t="s">
        <v>139</v>
      </c>
      <c r="C40" s="7" t="str">
        <f aca="false">IF('01 Rubric'!B14="","",'01 Rubric'!B14)</f>
        <v>Team leadership and delegation</v>
      </c>
      <c r="D40" s="7" t="str">
        <f aca="false">'03 Divergence'!K40</f>
        <v/>
      </c>
      <c r="E40" s="17" t="str">
        <f aca="false">'03 Divergence'!H40</f>
        <v/>
      </c>
      <c r="F40" s="17" t="str">
        <f aca="false">'03 Divergence'!J40</f>
        <v/>
      </c>
      <c r="G40" s="16"/>
      <c r="H40" s="9"/>
      <c r="I40" s="10" t="str">
        <f aca="false">IF(D40="","",IF(D40="No evidence",0,IF(OR(D40="Divergence",D40="Contradiction"),IF(G40="",F40,G40),F40)))</f>
        <v/>
      </c>
      <c r="J40" s="6" t="str">
        <f aca="false">IF(D40="","",IF(D40="No evidence","No evidence",IF(OR(D40="Divergence",D40="Contradiction"),IF(G40="","Unresolved",IF(H40="","Reason missing","Calibrated")),"Agreement")))</f>
        <v/>
      </c>
    </row>
    <row r="41" customFormat="false" ht="15" hidden="false" customHeight="true" outlineLevel="0" collapsed="false">
      <c r="A41" s="6" t="str">
        <f aca="false">"K4"&amp;IF('00 Setup'!B19="",""," · "&amp;'00 Setup'!B19)</f>
        <v>K4</v>
      </c>
      <c r="B41" s="7" t="s">
        <v>144</v>
      </c>
      <c r="C41" s="7" t="str">
        <f aca="false">IF('01 Rubric'!B15="","",'01 Rubric'!B15)</f>
        <v>Stakeholder communication and reporting</v>
      </c>
      <c r="D41" s="7" t="str">
        <f aca="false">'03 Divergence'!K41</f>
        <v/>
      </c>
      <c r="E41" s="17" t="str">
        <f aca="false">'03 Divergence'!H41</f>
        <v/>
      </c>
      <c r="F41" s="17" t="str">
        <f aca="false">'03 Divergence'!J41</f>
        <v/>
      </c>
      <c r="G41" s="16"/>
      <c r="H41" s="9"/>
      <c r="I41" s="10" t="str">
        <f aca="false">IF(D41="","",IF(D41="No evidence",0,IF(OR(D41="Divergence",D41="Contradiction"),IF(G41="",F41,G41),F41)))</f>
        <v/>
      </c>
      <c r="J41" s="6" t="str">
        <f aca="false">IF(D41="","",IF(D41="No evidence","No evidence",IF(OR(D41="Divergence",D41="Contradiction"),IF(G41="","Unresolved",IF(H41="","Reason missing","Calibrated")),"Agreement")))</f>
        <v/>
      </c>
    </row>
    <row r="42" customFormat="false" ht="15" hidden="false" customHeight="true" outlineLevel="0" collapsed="false">
      <c r="A42" s="6" t="str">
        <f aca="false">"K4"&amp;IF('00 Setup'!B19="",""," · "&amp;'00 Setup'!B19)</f>
        <v>K4</v>
      </c>
      <c r="B42" s="7" t="s">
        <v>149</v>
      </c>
      <c r="C42" s="7" t="str">
        <f aca="false">IF('01 Rubric'!B16="","",'01 Rubric'!B16)</f>
        <v>Jurisdictional and regulatory exposure</v>
      </c>
      <c r="D42" s="7" t="str">
        <f aca="false">'03 Divergence'!K42</f>
        <v/>
      </c>
      <c r="E42" s="17" t="str">
        <f aca="false">'03 Divergence'!H42</f>
        <v/>
      </c>
      <c r="F42" s="17" t="str">
        <f aca="false">'03 Divergence'!J42</f>
        <v/>
      </c>
      <c r="G42" s="16"/>
      <c r="H42" s="9"/>
      <c r="I42" s="10" t="str">
        <f aca="false">IF(D42="","",IF(D42="No evidence",0,IF(OR(D42="Divergence",D42="Contradiction"),IF(G42="",F42,G42),F42)))</f>
        <v/>
      </c>
      <c r="J42" s="6" t="str">
        <f aca="false">IF(D42="","",IF(D42="No evidence","No evidence",IF(OR(D42="Divergence",D42="Contradiction"),IF(G42="","Unresolved",IF(H42="","Reason missing","Calibrated")),"Agreement")))</f>
        <v/>
      </c>
    </row>
    <row r="43" customFormat="false" ht="15" hidden="false" customHeight="true" outlineLevel="0" collapsed="false">
      <c r="A43" s="6" t="str">
        <f aca="false">"K5"&amp;IF('00 Setup'!B20="",""," · "&amp;'00 Setup'!B20)</f>
        <v>K5</v>
      </c>
      <c r="B43" s="7" t="s">
        <v>107</v>
      </c>
      <c r="C43" s="7" t="str">
        <f aca="false">IF('01 Rubric'!B8="","",'01 Rubric'!B8)</f>
        <v>Technical accounting and IFRS application</v>
      </c>
      <c r="D43" s="7" t="str">
        <f aca="false">'03 Divergence'!K43</f>
        <v/>
      </c>
      <c r="E43" s="17" t="str">
        <f aca="false">'03 Divergence'!H43</f>
        <v/>
      </c>
      <c r="F43" s="17" t="str">
        <f aca="false">'03 Divergence'!J43</f>
        <v/>
      </c>
      <c r="G43" s="16"/>
      <c r="H43" s="9"/>
      <c r="I43" s="10" t="str">
        <f aca="false">IF(D43="","",IF(D43="No evidence",0,IF(OR(D43="Divergence",D43="Contradiction"),IF(G43="",F43,G43),F43)))</f>
        <v/>
      </c>
      <c r="J43" s="6" t="str">
        <f aca="false">IF(D43="","",IF(D43="No evidence","No evidence",IF(OR(D43="Divergence",D43="Contradiction"),IF(G43="","Unresolved",IF(H43="","Reason missing","Calibrated")),"Agreement")))</f>
        <v/>
      </c>
    </row>
    <row r="44" customFormat="false" ht="15" hidden="false" customHeight="true" outlineLevel="0" collapsed="false">
      <c r="A44" s="6" t="str">
        <f aca="false">"K5"&amp;IF('00 Setup'!B20="",""," · "&amp;'00 Setup'!B20)</f>
        <v>K5</v>
      </c>
      <c r="B44" s="7" t="s">
        <v>113</v>
      </c>
      <c r="C44" s="7" t="str">
        <f aca="false">IF('01 Rubric'!B9="","",'01 Rubric'!B9)</f>
        <v>Financial reporting and close ownership</v>
      </c>
      <c r="D44" s="7" t="str">
        <f aca="false">'03 Divergence'!K44</f>
        <v/>
      </c>
      <c r="E44" s="17" t="str">
        <f aca="false">'03 Divergence'!H44</f>
        <v/>
      </c>
      <c r="F44" s="17" t="str">
        <f aca="false">'03 Divergence'!J44</f>
        <v/>
      </c>
      <c r="G44" s="16"/>
      <c r="H44" s="9"/>
      <c r="I44" s="10" t="str">
        <f aca="false">IF(D44="","",IF(D44="No evidence",0,IF(OR(D44="Divergence",D44="Contradiction"),IF(G44="",F44,G44),F44)))</f>
        <v/>
      </c>
      <c r="J44" s="6" t="str">
        <f aca="false">IF(D44="","",IF(D44="No evidence","No evidence",IF(OR(D44="Divergence",D44="Contradiction"),IF(G44="","Unresolved",IF(H44="","Reason missing","Calibrated")),"Agreement")))</f>
        <v/>
      </c>
    </row>
    <row r="45" customFormat="false" ht="15" hidden="false" customHeight="true" outlineLevel="0" collapsed="false">
      <c r="A45" s="6" t="str">
        <f aca="false">"K5"&amp;IF('00 Setup'!B20="",""," · "&amp;'00 Setup'!B20)</f>
        <v>K5</v>
      </c>
      <c r="B45" s="7" t="s">
        <v>118</v>
      </c>
      <c r="C45" s="7" t="str">
        <f aca="false">IF('01 Rubric'!B10="","",'01 Rubric'!B10)</f>
        <v>Controls, compliance and audit readiness</v>
      </c>
      <c r="D45" s="7" t="str">
        <f aca="false">'03 Divergence'!K45</f>
        <v/>
      </c>
      <c r="E45" s="17" t="str">
        <f aca="false">'03 Divergence'!H45</f>
        <v/>
      </c>
      <c r="F45" s="17" t="str">
        <f aca="false">'03 Divergence'!J45</f>
        <v/>
      </c>
      <c r="G45" s="16"/>
      <c r="H45" s="9"/>
      <c r="I45" s="10" t="str">
        <f aca="false">IF(D45="","",IF(D45="No evidence",0,IF(OR(D45="Divergence",D45="Contradiction"),IF(G45="",F45,G45),F45)))</f>
        <v/>
      </c>
      <c r="J45" s="6" t="str">
        <f aca="false">IF(D45="","",IF(D45="No evidence","No evidence",IF(OR(D45="Divergence",D45="Contradiction"),IF(G45="","Unresolved",IF(H45="","Reason missing","Calibrated")),"Agreement")))</f>
        <v/>
      </c>
    </row>
    <row r="46" customFormat="false" ht="15" hidden="false" customHeight="true" outlineLevel="0" collapsed="false">
      <c r="A46" s="6" t="str">
        <f aca="false">"K5"&amp;IF('00 Setup'!B20="",""," · "&amp;'00 Setup'!B20)</f>
        <v>K5</v>
      </c>
      <c r="B46" s="7" t="s">
        <v>123</v>
      </c>
      <c r="C46" s="7" t="str">
        <f aca="false">IF('01 Rubric'!B11="","",'01 Rubric'!B11)</f>
        <v>Planning, budgeting and forecasting</v>
      </c>
      <c r="D46" s="7" t="str">
        <f aca="false">'03 Divergence'!K46</f>
        <v/>
      </c>
      <c r="E46" s="17" t="str">
        <f aca="false">'03 Divergence'!H46</f>
        <v/>
      </c>
      <c r="F46" s="17" t="str">
        <f aca="false">'03 Divergence'!J46</f>
        <v/>
      </c>
      <c r="G46" s="16"/>
      <c r="H46" s="9"/>
      <c r="I46" s="10" t="str">
        <f aca="false">IF(D46="","",IF(D46="No evidence",0,IF(OR(D46="Divergence",D46="Contradiction"),IF(G46="",F46,G46),F46)))</f>
        <v/>
      </c>
      <c r="J46" s="6" t="str">
        <f aca="false">IF(D46="","",IF(D46="No evidence","No evidence",IF(OR(D46="Divergence",D46="Contradiction"),IF(G46="","Unresolved",IF(H46="","Reason missing","Calibrated")),"Agreement")))</f>
        <v/>
      </c>
    </row>
    <row r="47" customFormat="false" ht="15" hidden="false" customHeight="true" outlineLevel="0" collapsed="false">
      <c r="A47" s="6" t="str">
        <f aca="false">"K5"&amp;IF('00 Setup'!B20="",""," · "&amp;'00 Setup'!B20)</f>
        <v>K5</v>
      </c>
      <c r="B47" s="7" t="s">
        <v>128</v>
      </c>
      <c r="C47" s="7" t="str">
        <f aca="false">IF('01 Rubric'!B12="","",'01 Rubric'!B12)</f>
        <v>Cash, treasury and working capital</v>
      </c>
      <c r="D47" s="7" t="str">
        <f aca="false">'03 Divergence'!K47</f>
        <v/>
      </c>
      <c r="E47" s="17" t="str">
        <f aca="false">'03 Divergence'!H47</f>
        <v/>
      </c>
      <c r="F47" s="17" t="str">
        <f aca="false">'03 Divergence'!J47</f>
        <v/>
      </c>
      <c r="G47" s="16"/>
      <c r="H47" s="9"/>
      <c r="I47" s="10" t="str">
        <f aca="false">IF(D47="","",IF(D47="No evidence",0,IF(OR(D47="Divergence",D47="Contradiction"),IF(G47="",F47,G47),F47)))</f>
        <v/>
      </c>
      <c r="J47" s="6" t="str">
        <f aca="false">IF(D47="","",IF(D47="No evidence","No evidence",IF(OR(D47="Divergence",D47="Contradiction"),IF(G47="","Unresolved",IF(H47="","Reason missing","Calibrated")),"Agreement")))</f>
        <v/>
      </c>
    </row>
    <row r="48" customFormat="false" ht="15" hidden="false" customHeight="true" outlineLevel="0" collapsed="false">
      <c r="A48" s="6" t="str">
        <f aca="false">"K5"&amp;IF('00 Setup'!B20="",""," · "&amp;'00 Setup'!B20)</f>
        <v>K5</v>
      </c>
      <c r="B48" s="7" t="s">
        <v>134</v>
      </c>
      <c r="C48" s="7" t="str">
        <f aca="false">IF('01 Rubric'!B13="","",'01 Rubric'!B13)</f>
        <v>Systems, data and reporting tooling</v>
      </c>
      <c r="D48" s="7" t="str">
        <f aca="false">'03 Divergence'!K48</f>
        <v/>
      </c>
      <c r="E48" s="17" t="str">
        <f aca="false">'03 Divergence'!H48</f>
        <v/>
      </c>
      <c r="F48" s="17" t="str">
        <f aca="false">'03 Divergence'!J48</f>
        <v/>
      </c>
      <c r="G48" s="16"/>
      <c r="H48" s="9"/>
      <c r="I48" s="10" t="str">
        <f aca="false">IF(D48="","",IF(D48="No evidence",0,IF(OR(D48="Divergence",D48="Contradiction"),IF(G48="",F48,G48),F48)))</f>
        <v/>
      </c>
      <c r="J48" s="6" t="str">
        <f aca="false">IF(D48="","",IF(D48="No evidence","No evidence",IF(OR(D48="Divergence",D48="Contradiction"),IF(G48="","Unresolved",IF(H48="","Reason missing","Calibrated")),"Agreement")))</f>
        <v/>
      </c>
    </row>
    <row r="49" customFormat="false" ht="15" hidden="false" customHeight="true" outlineLevel="0" collapsed="false">
      <c r="A49" s="6" t="str">
        <f aca="false">"K5"&amp;IF('00 Setup'!B20="",""," · "&amp;'00 Setup'!B20)</f>
        <v>K5</v>
      </c>
      <c r="B49" s="7" t="s">
        <v>139</v>
      </c>
      <c r="C49" s="7" t="str">
        <f aca="false">IF('01 Rubric'!B14="","",'01 Rubric'!B14)</f>
        <v>Team leadership and delegation</v>
      </c>
      <c r="D49" s="7" t="str">
        <f aca="false">'03 Divergence'!K49</f>
        <v/>
      </c>
      <c r="E49" s="17" t="str">
        <f aca="false">'03 Divergence'!H49</f>
        <v/>
      </c>
      <c r="F49" s="17" t="str">
        <f aca="false">'03 Divergence'!J49</f>
        <v/>
      </c>
      <c r="G49" s="16"/>
      <c r="H49" s="9"/>
      <c r="I49" s="10" t="str">
        <f aca="false">IF(D49="","",IF(D49="No evidence",0,IF(OR(D49="Divergence",D49="Contradiction"),IF(G49="",F49,G49),F49)))</f>
        <v/>
      </c>
      <c r="J49" s="6" t="str">
        <f aca="false">IF(D49="","",IF(D49="No evidence","No evidence",IF(OR(D49="Divergence",D49="Contradiction"),IF(G49="","Unresolved",IF(H49="","Reason missing","Calibrated")),"Agreement")))</f>
        <v/>
      </c>
    </row>
    <row r="50" customFormat="false" ht="15" hidden="false" customHeight="true" outlineLevel="0" collapsed="false">
      <c r="A50" s="6" t="str">
        <f aca="false">"K5"&amp;IF('00 Setup'!B20="",""," · "&amp;'00 Setup'!B20)</f>
        <v>K5</v>
      </c>
      <c r="B50" s="7" t="s">
        <v>144</v>
      </c>
      <c r="C50" s="7" t="str">
        <f aca="false">IF('01 Rubric'!B15="","",'01 Rubric'!B15)</f>
        <v>Stakeholder communication and reporting</v>
      </c>
      <c r="D50" s="7" t="str">
        <f aca="false">'03 Divergence'!K50</f>
        <v/>
      </c>
      <c r="E50" s="17" t="str">
        <f aca="false">'03 Divergence'!H50</f>
        <v/>
      </c>
      <c r="F50" s="17" t="str">
        <f aca="false">'03 Divergence'!J50</f>
        <v/>
      </c>
      <c r="G50" s="16"/>
      <c r="H50" s="9"/>
      <c r="I50" s="10" t="str">
        <f aca="false">IF(D50="","",IF(D50="No evidence",0,IF(OR(D50="Divergence",D50="Contradiction"),IF(G50="",F50,G50),F50)))</f>
        <v/>
      </c>
      <c r="J50" s="6" t="str">
        <f aca="false">IF(D50="","",IF(D50="No evidence","No evidence",IF(OR(D50="Divergence",D50="Contradiction"),IF(G50="","Unresolved",IF(H50="","Reason missing","Calibrated")),"Agreement")))</f>
        <v/>
      </c>
    </row>
    <row r="51" customFormat="false" ht="15" hidden="false" customHeight="true" outlineLevel="0" collapsed="false">
      <c r="A51" s="6" t="str">
        <f aca="false">"K5"&amp;IF('00 Setup'!B20="",""," · "&amp;'00 Setup'!B20)</f>
        <v>K5</v>
      </c>
      <c r="B51" s="7" t="s">
        <v>149</v>
      </c>
      <c r="C51" s="7" t="str">
        <f aca="false">IF('01 Rubric'!B16="","",'01 Rubric'!B16)</f>
        <v>Jurisdictional and regulatory exposure</v>
      </c>
      <c r="D51" s="7" t="str">
        <f aca="false">'03 Divergence'!K51</f>
        <v/>
      </c>
      <c r="E51" s="17" t="str">
        <f aca="false">'03 Divergence'!H51</f>
        <v/>
      </c>
      <c r="F51" s="17" t="str">
        <f aca="false">'03 Divergence'!J51</f>
        <v/>
      </c>
      <c r="G51" s="16"/>
      <c r="H51" s="9"/>
      <c r="I51" s="10" t="str">
        <f aca="false">IF(D51="","",IF(D51="No evidence",0,IF(OR(D51="Divergence",D51="Contradiction"),IF(G51="",F51,G51),F51)))</f>
        <v/>
      </c>
      <c r="J51" s="6" t="str">
        <f aca="false">IF(D51="","",IF(D51="No evidence","No evidence",IF(OR(D51="Divergence",D51="Contradiction"),IF(G51="","Unresolved",IF(H51="","Reason missing","Calibrated")),"Agreement")))</f>
        <v/>
      </c>
    </row>
    <row r="52" customFormat="false" ht="15" hidden="false" customHeight="true" outlineLevel="0" collapsed="false">
      <c r="A52" s="6" t="str">
        <f aca="false">"K6"&amp;IF('00 Setup'!B21="",""," · "&amp;'00 Setup'!B21)</f>
        <v>K6</v>
      </c>
      <c r="B52" s="7" t="s">
        <v>107</v>
      </c>
      <c r="C52" s="7" t="str">
        <f aca="false">IF('01 Rubric'!B8="","",'01 Rubric'!B8)</f>
        <v>Technical accounting and IFRS application</v>
      </c>
      <c r="D52" s="7" t="str">
        <f aca="false">'03 Divergence'!K52</f>
        <v/>
      </c>
      <c r="E52" s="17" t="str">
        <f aca="false">'03 Divergence'!H52</f>
        <v/>
      </c>
      <c r="F52" s="17" t="str">
        <f aca="false">'03 Divergence'!J52</f>
        <v/>
      </c>
      <c r="G52" s="16"/>
      <c r="H52" s="9"/>
      <c r="I52" s="10" t="str">
        <f aca="false">IF(D52="","",IF(D52="No evidence",0,IF(OR(D52="Divergence",D52="Contradiction"),IF(G52="",F52,G52),F52)))</f>
        <v/>
      </c>
      <c r="J52" s="6" t="str">
        <f aca="false">IF(D52="","",IF(D52="No evidence","No evidence",IF(OR(D52="Divergence",D52="Contradiction"),IF(G52="","Unresolved",IF(H52="","Reason missing","Calibrated")),"Agreement")))</f>
        <v/>
      </c>
    </row>
    <row r="53" customFormat="false" ht="15" hidden="false" customHeight="true" outlineLevel="0" collapsed="false">
      <c r="A53" s="6" t="str">
        <f aca="false">"K6"&amp;IF('00 Setup'!B21="",""," · "&amp;'00 Setup'!B21)</f>
        <v>K6</v>
      </c>
      <c r="B53" s="7" t="s">
        <v>113</v>
      </c>
      <c r="C53" s="7" t="str">
        <f aca="false">IF('01 Rubric'!B9="","",'01 Rubric'!B9)</f>
        <v>Financial reporting and close ownership</v>
      </c>
      <c r="D53" s="7" t="str">
        <f aca="false">'03 Divergence'!K53</f>
        <v/>
      </c>
      <c r="E53" s="17" t="str">
        <f aca="false">'03 Divergence'!H53</f>
        <v/>
      </c>
      <c r="F53" s="17" t="str">
        <f aca="false">'03 Divergence'!J53</f>
        <v/>
      </c>
      <c r="G53" s="16"/>
      <c r="H53" s="9"/>
      <c r="I53" s="10" t="str">
        <f aca="false">IF(D53="","",IF(D53="No evidence",0,IF(OR(D53="Divergence",D53="Contradiction"),IF(G53="",F53,G53),F53)))</f>
        <v/>
      </c>
      <c r="J53" s="6" t="str">
        <f aca="false">IF(D53="","",IF(D53="No evidence","No evidence",IF(OR(D53="Divergence",D53="Contradiction"),IF(G53="","Unresolved",IF(H53="","Reason missing","Calibrated")),"Agreement")))</f>
        <v/>
      </c>
    </row>
    <row r="54" customFormat="false" ht="15" hidden="false" customHeight="true" outlineLevel="0" collapsed="false">
      <c r="A54" s="6" t="str">
        <f aca="false">"K6"&amp;IF('00 Setup'!B21="",""," · "&amp;'00 Setup'!B21)</f>
        <v>K6</v>
      </c>
      <c r="B54" s="7" t="s">
        <v>118</v>
      </c>
      <c r="C54" s="7" t="str">
        <f aca="false">IF('01 Rubric'!B10="","",'01 Rubric'!B10)</f>
        <v>Controls, compliance and audit readiness</v>
      </c>
      <c r="D54" s="7" t="str">
        <f aca="false">'03 Divergence'!K54</f>
        <v/>
      </c>
      <c r="E54" s="17" t="str">
        <f aca="false">'03 Divergence'!H54</f>
        <v/>
      </c>
      <c r="F54" s="17" t="str">
        <f aca="false">'03 Divergence'!J54</f>
        <v/>
      </c>
      <c r="G54" s="16"/>
      <c r="H54" s="9"/>
      <c r="I54" s="10" t="str">
        <f aca="false">IF(D54="","",IF(D54="No evidence",0,IF(OR(D54="Divergence",D54="Contradiction"),IF(G54="",F54,G54),F54)))</f>
        <v/>
      </c>
      <c r="J54" s="6" t="str">
        <f aca="false">IF(D54="","",IF(D54="No evidence","No evidence",IF(OR(D54="Divergence",D54="Contradiction"),IF(G54="","Unresolved",IF(H54="","Reason missing","Calibrated")),"Agreement")))</f>
        <v/>
      </c>
    </row>
    <row r="55" customFormat="false" ht="15" hidden="false" customHeight="true" outlineLevel="0" collapsed="false">
      <c r="A55" s="6" t="str">
        <f aca="false">"K6"&amp;IF('00 Setup'!B21="",""," · "&amp;'00 Setup'!B21)</f>
        <v>K6</v>
      </c>
      <c r="B55" s="7" t="s">
        <v>123</v>
      </c>
      <c r="C55" s="7" t="str">
        <f aca="false">IF('01 Rubric'!B11="","",'01 Rubric'!B11)</f>
        <v>Planning, budgeting and forecasting</v>
      </c>
      <c r="D55" s="7" t="str">
        <f aca="false">'03 Divergence'!K55</f>
        <v/>
      </c>
      <c r="E55" s="17" t="str">
        <f aca="false">'03 Divergence'!H55</f>
        <v/>
      </c>
      <c r="F55" s="17" t="str">
        <f aca="false">'03 Divergence'!J55</f>
        <v/>
      </c>
      <c r="G55" s="16"/>
      <c r="H55" s="9"/>
      <c r="I55" s="10" t="str">
        <f aca="false">IF(D55="","",IF(D55="No evidence",0,IF(OR(D55="Divergence",D55="Contradiction"),IF(G55="",F55,G55),F55)))</f>
        <v/>
      </c>
      <c r="J55" s="6" t="str">
        <f aca="false">IF(D55="","",IF(D55="No evidence","No evidence",IF(OR(D55="Divergence",D55="Contradiction"),IF(G55="","Unresolved",IF(H55="","Reason missing","Calibrated")),"Agreement")))</f>
        <v/>
      </c>
    </row>
    <row r="56" customFormat="false" ht="15" hidden="false" customHeight="true" outlineLevel="0" collapsed="false">
      <c r="A56" s="6" t="str">
        <f aca="false">"K6"&amp;IF('00 Setup'!B21="",""," · "&amp;'00 Setup'!B21)</f>
        <v>K6</v>
      </c>
      <c r="B56" s="7" t="s">
        <v>128</v>
      </c>
      <c r="C56" s="7" t="str">
        <f aca="false">IF('01 Rubric'!B12="","",'01 Rubric'!B12)</f>
        <v>Cash, treasury and working capital</v>
      </c>
      <c r="D56" s="7" t="str">
        <f aca="false">'03 Divergence'!K56</f>
        <v/>
      </c>
      <c r="E56" s="17" t="str">
        <f aca="false">'03 Divergence'!H56</f>
        <v/>
      </c>
      <c r="F56" s="17" t="str">
        <f aca="false">'03 Divergence'!J56</f>
        <v/>
      </c>
      <c r="G56" s="16"/>
      <c r="H56" s="9"/>
      <c r="I56" s="10" t="str">
        <f aca="false">IF(D56="","",IF(D56="No evidence",0,IF(OR(D56="Divergence",D56="Contradiction"),IF(G56="",F56,G56),F56)))</f>
        <v/>
      </c>
      <c r="J56" s="6" t="str">
        <f aca="false">IF(D56="","",IF(D56="No evidence","No evidence",IF(OR(D56="Divergence",D56="Contradiction"),IF(G56="","Unresolved",IF(H56="","Reason missing","Calibrated")),"Agreement")))</f>
        <v/>
      </c>
    </row>
    <row r="57" customFormat="false" ht="15" hidden="false" customHeight="true" outlineLevel="0" collapsed="false">
      <c r="A57" s="6" t="str">
        <f aca="false">"K6"&amp;IF('00 Setup'!B21="",""," · "&amp;'00 Setup'!B21)</f>
        <v>K6</v>
      </c>
      <c r="B57" s="7" t="s">
        <v>134</v>
      </c>
      <c r="C57" s="7" t="str">
        <f aca="false">IF('01 Rubric'!B13="","",'01 Rubric'!B13)</f>
        <v>Systems, data and reporting tooling</v>
      </c>
      <c r="D57" s="7" t="str">
        <f aca="false">'03 Divergence'!K57</f>
        <v/>
      </c>
      <c r="E57" s="17" t="str">
        <f aca="false">'03 Divergence'!H57</f>
        <v/>
      </c>
      <c r="F57" s="17" t="str">
        <f aca="false">'03 Divergence'!J57</f>
        <v/>
      </c>
      <c r="G57" s="16"/>
      <c r="H57" s="9"/>
      <c r="I57" s="10" t="str">
        <f aca="false">IF(D57="","",IF(D57="No evidence",0,IF(OR(D57="Divergence",D57="Contradiction"),IF(G57="",F57,G57),F57)))</f>
        <v/>
      </c>
      <c r="J57" s="6" t="str">
        <f aca="false">IF(D57="","",IF(D57="No evidence","No evidence",IF(OR(D57="Divergence",D57="Contradiction"),IF(G57="","Unresolved",IF(H57="","Reason missing","Calibrated")),"Agreement")))</f>
        <v/>
      </c>
    </row>
    <row r="58" customFormat="false" ht="15" hidden="false" customHeight="true" outlineLevel="0" collapsed="false">
      <c r="A58" s="6" t="str">
        <f aca="false">"K6"&amp;IF('00 Setup'!B21="",""," · "&amp;'00 Setup'!B21)</f>
        <v>K6</v>
      </c>
      <c r="B58" s="7" t="s">
        <v>139</v>
      </c>
      <c r="C58" s="7" t="str">
        <f aca="false">IF('01 Rubric'!B14="","",'01 Rubric'!B14)</f>
        <v>Team leadership and delegation</v>
      </c>
      <c r="D58" s="7" t="str">
        <f aca="false">'03 Divergence'!K58</f>
        <v/>
      </c>
      <c r="E58" s="17" t="str">
        <f aca="false">'03 Divergence'!H58</f>
        <v/>
      </c>
      <c r="F58" s="17" t="str">
        <f aca="false">'03 Divergence'!J58</f>
        <v/>
      </c>
      <c r="G58" s="16"/>
      <c r="H58" s="9"/>
      <c r="I58" s="10" t="str">
        <f aca="false">IF(D58="","",IF(D58="No evidence",0,IF(OR(D58="Divergence",D58="Contradiction"),IF(G58="",F58,G58),F58)))</f>
        <v/>
      </c>
      <c r="J58" s="6" t="str">
        <f aca="false">IF(D58="","",IF(D58="No evidence","No evidence",IF(OR(D58="Divergence",D58="Contradiction"),IF(G58="","Unresolved",IF(H58="","Reason missing","Calibrated")),"Agreement")))</f>
        <v/>
      </c>
    </row>
    <row r="59" customFormat="false" ht="15" hidden="false" customHeight="true" outlineLevel="0" collapsed="false">
      <c r="A59" s="6" t="str">
        <f aca="false">"K6"&amp;IF('00 Setup'!B21="",""," · "&amp;'00 Setup'!B21)</f>
        <v>K6</v>
      </c>
      <c r="B59" s="7" t="s">
        <v>144</v>
      </c>
      <c r="C59" s="7" t="str">
        <f aca="false">IF('01 Rubric'!B15="","",'01 Rubric'!B15)</f>
        <v>Stakeholder communication and reporting</v>
      </c>
      <c r="D59" s="7" t="str">
        <f aca="false">'03 Divergence'!K59</f>
        <v/>
      </c>
      <c r="E59" s="17" t="str">
        <f aca="false">'03 Divergence'!H59</f>
        <v/>
      </c>
      <c r="F59" s="17" t="str">
        <f aca="false">'03 Divergence'!J59</f>
        <v/>
      </c>
      <c r="G59" s="16"/>
      <c r="H59" s="9"/>
      <c r="I59" s="10" t="str">
        <f aca="false">IF(D59="","",IF(D59="No evidence",0,IF(OR(D59="Divergence",D59="Contradiction"),IF(G59="",F59,G59),F59)))</f>
        <v/>
      </c>
      <c r="J59" s="6" t="str">
        <f aca="false">IF(D59="","",IF(D59="No evidence","No evidence",IF(OR(D59="Divergence",D59="Contradiction"),IF(G59="","Unresolved",IF(H59="","Reason missing","Calibrated")),"Agreement")))</f>
        <v/>
      </c>
    </row>
    <row r="60" customFormat="false" ht="15" hidden="false" customHeight="true" outlineLevel="0" collapsed="false">
      <c r="A60" s="6" t="str">
        <f aca="false">"K6"&amp;IF('00 Setup'!B21="",""," · "&amp;'00 Setup'!B21)</f>
        <v>K6</v>
      </c>
      <c r="B60" s="7" t="s">
        <v>149</v>
      </c>
      <c r="C60" s="7" t="str">
        <f aca="false">IF('01 Rubric'!B16="","",'01 Rubric'!B16)</f>
        <v>Jurisdictional and regulatory exposure</v>
      </c>
      <c r="D60" s="7" t="str">
        <f aca="false">'03 Divergence'!K60</f>
        <v/>
      </c>
      <c r="E60" s="17" t="str">
        <f aca="false">'03 Divergence'!H60</f>
        <v/>
      </c>
      <c r="F60" s="17" t="str">
        <f aca="false">'03 Divergence'!J60</f>
        <v/>
      </c>
      <c r="G60" s="16"/>
      <c r="H60" s="9"/>
      <c r="I60" s="10" t="str">
        <f aca="false">IF(D60="","",IF(D60="No evidence",0,IF(OR(D60="Divergence",D60="Contradiction"),IF(G60="",F60,G60),F60)))</f>
        <v/>
      </c>
      <c r="J60" s="6" t="str">
        <f aca="false">IF(D60="","",IF(D60="No evidence","No evidence",IF(OR(D60="Divergence",D60="Contradiction"),IF(G60="","Unresolved",IF(H60="","Reason missing","Calibrated")),"Agreement")))</f>
        <v/>
      </c>
    </row>
    <row r="61" customFormat="false" ht="15" hidden="false" customHeight="true" outlineLevel="0" collapsed="false"/>
    <row r="62" customFormat="false" ht="15" hidden="false" customHeight="true" outlineLevel="0" collapsed="false">
      <c r="C62" s="6" t="s">
        <v>197</v>
      </c>
      <c r="D62" s="17" t="n">
        <f aca="false">COUNTIF(D7:D60,"Divergence")+COUNTIF(D7:D60,"Contradiction")</f>
        <v>0</v>
      </c>
    </row>
    <row r="63" customFormat="false" ht="15" hidden="false" customHeight="true" outlineLevel="0" collapsed="false">
      <c r="C63" s="6" t="s">
        <v>198</v>
      </c>
      <c r="D63" s="17" t="n">
        <f aca="false">COUNTIF(J7:J60,"Calibrated")</f>
        <v>0</v>
      </c>
    </row>
    <row r="64" customFormat="false" ht="15" hidden="false" customHeight="true" outlineLevel="0" collapsed="false">
      <c r="C64" s="6" t="s">
        <v>199</v>
      </c>
      <c r="D64" s="17" t="n">
        <f aca="false">COUNTIF(J7:J60,"Unresolved")</f>
        <v>0</v>
      </c>
    </row>
    <row r="65" customFormat="false" ht="15" hidden="false" customHeight="true" outlineLevel="0" collapsed="false">
      <c r="C65" s="6" t="s">
        <v>200</v>
      </c>
      <c r="D65" s="17" t="n">
        <f aca="false">COUNTIF(J7:J60,"Reason missing")</f>
        <v>0</v>
      </c>
    </row>
    <row r="66" customFormat="false" ht="27" hidden="false" customHeight="true" outlineLevel="0" collapsed="false">
      <c r="C66" s="6" t="s">
        <v>201</v>
      </c>
      <c r="D66" s="17" t="n">
        <f aca="false">SUMPRODUCT((G7:G60&lt;&gt;"")*(J7:J60&lt;&gt;"Calibrated")*(J7:J60&lt;&gt;"Reason missing"))</f>
        <v>0</v>
      </c>
    </row>
  </sheetData>
  <dataValidations count="1">
    <dataValidation allowBlank="true" errorStyle="stop" operator="between" showDropDown="false" showErrorMessage="true" showInputMessage="false" sqref="G7:G60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5147"/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9" min="4" style="0" width="13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202</v>
      </c>
    </row>
    <row r="3" customFormat="false" ht="15" hidden="false" customHeight="false" outlineLevel="0" collapsed="false">
      <c r="A3" s="3" t="s">
        <v>203</v>
      </c>
    </row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>
      <c r="A6" s="4" t="s">
        <v>70</v>
      </c>
      <c r="B6" s="5" t="s">
        <v>101</v>
      </c>
      <c r="C6" s="5" t="s">
        <v>103</v>
      </c>
      <c r="D6" s="5" t="str">
        <f aca="false">"K1"&amp;IF('00 Setup'!B16="",""," · "&amp;'00 Setup'!B16)</f>
        <v>K1</v>
      </c>
      <c r="E6" s="5" t="str">
        <f aca="false">"K2"&amp;IF('00 Setup'!B17="",""," · "&amp;'00 Setup'!B17)</f>
        <v>K2</v>
      </c>
      <c r="F6" s="5" t="str">
        <f aca="false">"K3"&amp;IF('00 Setup'!B18="",""," · "&amp;'00 Setup'!B18)</f>
        <v>K3</v>
      </c>
      <c r="G6" s="5" t="str">
        <f aca="false">"K4"&amp;IF('00 Setup'!B19="",""," · "&amp;'00 Setup'!B19)</f>
        <v>K4</v>
      </c>
      <c r="H6" s="5" t="str">
        <f aca="false">"K5"&amp;IF('00 Setup'!B20="",""," · "&amp;'00 Setup'!B20)</f>
        <v>K5</v>
      </c>
      <c r="I6" s="5" t="str">
        <f aca="false">"K6"&amp;IF('00 Setup'!B21="",""," · "&amp;'00 Setup'!B21)</f>
        <v>K6</v>
      </c>
    </row>
    <row r="7" customFormat="false" ht="15" hidden="false" customHeight="true" outlineLevel="0" collapsed="false"/>
    <row r="8" customFormat="false" ht="15" hidden="false" customHeight="true" outlineLevel="0" collapsed="false">
      <c r="A8" s="6" t="s">
        <v>107</v>
      </c>
      <c r="B8" s="7" t="str">
        <f aca="false">IF('01 Rubric'!B8="","",'01 Rubric'!B8)</f>
        <v>Technical accounting and IFRS application</v>
      </c>
      <c r="C8" s="17" t="n">
        <f aca="false">IF('01 Rubric'!D8="","",'01 Rubric'!D8)</f>
        <v>15</v>
      </c>
      <c r="D8" s="17" t="str">
        <f aca="false">'04 Calibration'!I7</f>
        <v/>
      </c>
      <c r="E8" s="17" t="str">
        <f aca="false">'04 Calibration'!I16</f>
        <v/>
      </c>
      <c r="F8" s="17" t="str">
        <f aca="false">'04 Calibration'!I25</f>
        <v/>
      </c>
      <c r="G8" s="17" t="str">
        <f aca="false">'04 Calibration'!I34</f>
        <v/>
      </c>
      <c r="H8" s="17" t="str">
        <f aca="false">'04 Calibration'!I43</f>
        <v/>
      </c>
      <c r="I8" s="17" t="str">
        <f aca="false">'04 Calibration'!I52</f>
        <v/>
      </c>
    </row>
    <row r="9" customFormat="false" ht="15" hidden="false" customHeight="true" outlineLevel="0" collapsed="false">
      <c r="A9" s="6" t="s">
        <v>113</v>
      </c>
      <c r="B9" s="7" t="str">
        <f aca="false">IF('01 Rubric'!B9="","",'01 Rubric'!B9)</f>
        <v>Financial reporting and close ownership</v>
      </c>
      <c r="C9" s="17" t="n">
        <f aca="false">IF('01 Rubric'!D9="","",'01 Rubric'!D9)</f>
        <v>15</v>
      </c>
      <c r="D9" s="17" t="str">
        <f aca="false">'04 Calibration'!I8</f>
        <v/>
      </c>
      <c r="E9" s="17" t="str">
        <f aca="false">'04 Calibration'!I17</f>
        <v/>
      </c>
      <c r="F9" s="17" t="str">
        <f aca="false">'04 Calibration'!I26</f>
        <v/>
      </c>
      <c r="G9" s="17" t="str">
        <f aca="false">'04 Calibration'!I35</f>
        <v/>
      </c>
      <c r="H9" s="17" t="str">
        <f aca="false">'04 Calibration'!I44</f>
        <v/>
      </c>
      <c r="I9" s="17" t="str">
        <f aca="false">'04 Calibration'!I53</f>
        <v/>
      </c>
    </row>
    <row r="10" customFormat="false" ht="15" hidden="false" customHeight="true" outlineLevel="0" collapsed="false">
      <c r="A10" s="6" t="s">
        <v>118</v>
      </c>
      <c r="B10" s="7" t="str">
        <f aca="false">IF('01 Rubric'!B10="","",'01 Rubric'!B10)</f>
        <v>Controls, compliance and audit readiness</v>
      </c>
      <c r="C10" s="17" t="n">
        <f aca="false">IF('01 Rubric'!D10="","",'01 Rubric'!D10)</f>
        <v>12</v>
      </c>
      <c r="D10" s="17" t="str">
        <f aca="false">'04 Calibration'!I9</f>
        <v/>
      </c>
      <c r="E10" s="17" t="str">
        <f aca="false">'04 Calibration'!I18</f>
        <v/>
      </c>
      <c r="F10" s="17" t="str">
        <f aca="false">'04 Calibration'!I27</f>
        <v/>
      </c>
      <c r="G10" s="17" t="str">
        <f aca="false">'04 Calibration'!I36</f>
        <v/>
      </c>
      <c r="H10" s="17" t="str">
        <f aca="false">'04 Calibration'!I45</f>
        <v/>
      </c>
      <c r="I10" s="17" t="str">
        <f aca="false">'04 Calibration'!I54</f>
        <v/>
      </c>
    </row>
    <row r="11" customFormat="false" ht="15" hidden="false" customHeight="true" outlineLevel="0" collapsed="false">
      <c r="A11" s="6" t="s">
        <v>123</v>
      </c>
      <c r="B11" s="7" t="str">
        <f aca="false">IF('01 Rubric'!B11="","",'01 Rubric'!B11)</f>
        <v>Planning, budgeting and forecasting</v>
      </c>
      <c r="C11" s="17" t="n">
        <f aca="false">IF('01 Rubric'!D11="","",'01 Rubric'!D11)</f>
        <v>12</v>
      </c>
      <c r="D11" s="17" t="str">
        <f aca="false">'04 Calibration'!I10</f>
        <v/>
      </c>
      <c r="E11" s="17" t="str">
        <f aca="false">'04 Calibration'!I19</f>
        <v/>
      </c>
      <c r="F11" s="17" t="str">
        <f aca="false">'04 Calibration'!I28</f>
        <v/>
      </c>
      <c r="G11" s="17" t="str">
        <f aca="false">'04 Calibration'!I37</f>
        <v/>
      </c>
      <c r="H11" s="17" t="str">
        <f aca="false">'04 Calibration'!I46</f>
        <v/>
      </c>
      <c r="I11" s="17" t="str">
        <f aca="false">'04 Calibration'!I55</f>
        <v/>
      </c>
    </row>
    <row r="12" customFormat="false" ht="15" hidden="false" customHeight="true" outlineLevel="0" collapsed="false">
      <c r="A12" s="6" t="s">
        <v>128</v>
      </c>
      <c r="B12" s="7" t="str">
        <f aca="false">IF('01 Rubric'!B12="","",'01 Rubric'!B12)</f>
        <v>Cash, treasury and working capital</v>
      </c>
      <c r="C12" s="17" t="n">
        <f aca="false">IF('01 Rubric'!D12="","",'01 Rubric'!D12)</f>
        <v>8</v>
      </c>
      <c r="D12" s="17" t="str">
        <f aca="false">'04 Calibration'!I11</f>
        <v/>
      </c>
      <c r="E12" s="17" t="str">
        <f aca="false">'04 Calibration'!I20</f>
        <v/>
      </c>
      <c r="F12" s="17" t="str">
        <f aca="false">'04 Calibration'!I29</f>
        <v/>
      </c>
      <c r="G12" s="17" t="str">
        <f aca="false">'04 Calibration'!I38</f>
        <v/>
      </c>
      <c r="H12" s="17" t="str">
        <f aca="false">'04 Calibration'!I47</f>
        <v/>
      </c>
      <c r="I12" s="17" t="str">
        <f aca="false">'04 Calibration'!I56</f>
        <v/>
      </c>
    </row>
    <row r="13" customFormat="false" ht="15" hidden="false" customHeight="true" outlineLevel="0" collapsed="false">
      <c r="A13" s="6" t="s">
        <v>134</v>
      </c>
      <c r="B13" s="7" t="str">
        <f aca="false">IF('01 Rubric'!B13="","",'01 Rubric'!B13)</f>
        <v>Systems, data and reporting tooling</v>
      </c>
      <c r="C13" s="17" t="n">
        <f aca="false">IF('01 Rubric'!D13="","",'01 Rubric'!D13)</f>
        <v>10</v>
      </c>
      <c r="D13" s="17" t="str">
        <f aca="false">'04 Calibration'!I12</f>
        <v/>
      </c>
      <c r="E13" s="17" t="str">
        <f aca="false">'04 Calibration'!I21</f>
        <v/>
      </c>
      <c r="F13" s="17" t="str">
        <f aca="false">'04 Calibration'!I30</f>
        <v/>
      </c>
      <c r="G13" s="17" t="str">
        <f aca="false">'04 Calibration'!I39</f>
        <v/>
      </c>
      <c r="H13" s="17" t="str">
        <f aca="false">'04 Calibration'!I48</f>
        <v/>
      </c>
      <c r="I13" s="17" t="str">
        <f aca="false">'04 Calibration'!I57</f>
        <v/>
      </c>
    </row>
    <row r="14" customFormat="false" ht="15" hidden="false" customHeight="true" outlineLevel="0" collapsed="false">
      <c r="A14" s="6" t="s">
        <v>139</v>
      </c>
      <c r="B14" s="7" t="str">
        <f aca="false">IF('01 Rubric'!B14="","",'01 Rubric'!B14)</f>
        <v>Team leadership and delegation</v>
      </c>
      <c r="C14" s="17" t="n">
        <f aca="false">IF('01 Rubric'!D14="","",'01 Rubric'!D14)</f>
        <v>10</v>
      </c>
      <c r="D14" s="17" t="str">
        <f aca="false">'04 Calibration'!I13</f>
        <v/>
      </c>
      <c r="E14" s="17" t="str">
        <f aca="false">'04 Calibration'!I22</f>
        <v/>
      </c>
      <c r="F14" s="17" t="str">
        <f aca="false">'04 Calibration'!I31</f>
        <v/>
      </c>
      <c r="G14" s="17" t="str">
        <f aca="false">'04 Calibration'!I40</f>
        <v/>
      </c>
      <c r="H14" s="17" t="str">
        <f aca="false">'04 Calibration'!I49</f>
        <v/>
      </c>
      <c r="I14" s="17" t="str">
        <f aca="false">'04 Calibration'!I58</f>
        <v/>
      </c>
    </row>
    <row r="15" customFormat="false" ht="15" hidden="false" customHeight="true" outlineLevel="0" collapsed="false">
      <c r="A15" s="6" t="s">
        <v>144</v>
      </c>
      <c r="B15" s="7" t="str">
        <f aca="false">IF('01 Rubric'!B15="","",'01 Rubric'!B15)</f>
        <v>Stakeholder communication and reporting</v>
      </c>
      <c r="C15" s="17" t="n">
        <f aca="false">IF('01 Rubric'!D15="","",'01 Rubric'!D15)</f>
        <v>10</v>
      </c>
      <c r="D15" s="17" t="str">
        <f aca="false">'04 Calibration'!I14</f>
        <v/>
      </c>
      <c r="E15" s="17" t="str">
        <f aca="false">'04 Calibration'!I23</f>
        <v/>
      </c>
      <c r="F15" s="17" t="str">
        <f aca="false">'04 Calibration'!I32</f>
        <v/>
      </c>
      <c r="G15" s="17" t="str">
        <f aca="false">'04 Calibration'!I41</f>
        <v/>
      </c>
      <c r="H15" s="17" t="str">
        <f aca="false">'04 Calibration'!I50</f>
        <v/>
      </c>
      <c r="I15" s="17" t="str">
        <f aca="false">'04 Calibration'!I59</f>
        <v/>
      </c>
    </row>
    <row r="16" customFormat="false" ht="15" hidden="false" customHeight="true" outlineLevel="0" collapsed="false">
      <c r="A16" s="6" t="s">
        <v>149</v>
      </c>
      <c r="B16" s="7" t="str">
        <f aca="false">IF('01 Rubric'!B16="","",'01 Rubric'!B16)</f>
        <v>Jurisdictional and regulatory exposure</v>
      </c>
      <c r="C16" s="17" t="n">
        <f aca="false">IF('01 Rubric'!D16="","",'01 Rubric'!D16)</f>
        <v>8</v>
      </c>
      <c r="D16" s="17" t="str">
        <f aca="false">'04 Calibration'!I15</f>
        <v/>
      </c>
      <c r="E16" s="17" t="str">
        <f aca="false">'04 Calibration'!I24</f>
        <v/>
      </c>
      <c r="F16" s="17" t="str">
        <f aca="false">'04 Calibration'!I33</f>
        <v/>
      </c>
      <c r="G16" s="17" t="str">
        <f aca="false">'04 Calibration'!I42</f>
        <v/>
      </c>
      <c r="H16" s="17" t="str">
        <f aca="false">'04 Calibration'!I51</f>
        <v/>
      </c>
      <c r="I16" s="17" t="str">
        <f aca="false">'04 Calibration'!I60</f>
        <v/>
      </c>
    </row>
    <row r="17" customFormat="false" ht="15" hidden="false" customHeight="true" outlineLevel="0" collapsed="false">
      <c r="B17" s="6" t="s">
        <v>204</v>
      </c>
      <c r="D17" s="21" t="str">
        <f aca="false">IF(COUNT(D8:D16)=0,"",SUMPRODUCT($C$8:$C$16,D8:D16)/5)</f>
        <v/>
      </c>
      <c r="E17" s="21" t="str">
        <f aca="false">IF(COUNT(E8:E16)=0,"",SUMPRODUCT($C$8:$C$16,E8:E16)/5)</f>
        <v/>
      </c>
      <c r="F17" s="21" t="str">
        <f aca="false">IF(COUNT(F8:F16)=0,"",SUMPRODUCT($C$8:$C$16,F8:F16)/5)</f>
        <v/>
      </c>
      <c r="G17" s="21" t="str">
        <f aca="false">IF(COUNT(G8:G16)=0,"",SUMPRODUCT($C$8:$C$16,G8:G16)/5)</f>
        <v/>
      </c>
      <c r="H17" s="21" t="str">
        <f aca="false">IF(COUNT(H8:H16)=0,"",SUMPRODUCT($C$8:$C$16,H8:H16)/5)</f>
        <v/>
      </c>
      <c r="I17" s="21" t="str">
        <f aca="false">IF(COUNT(I8:I16)=0,"",SUMPRODUCT($C$8:$C$16,I8:I16)/5)</f>
        <v/>
      </c>
    </row>
    <row r="18" customFormat="false" ht="15" hidden="false" customHeight="true" outlineLevel="0" collapsed="false">
      <c r="B18" s="6" t="s">
        <v>205</v>
      </c>
      <c r="D18" s="17" t="str">
        <f aca="false">IF(D17="","",COUNTIF('04 Calibration'!J7:J15,"No evidence"))</f>
        <v/>
      </c>
      <c r="E18" s="17" t="str">
        <f aca="false">IF(E17="","",COUNTIF('04 Calibration'!J16:J24,"No evidence"))</f>
        <v/>
      </c>
      <c r="F18" s="17" t="str">
        <f aca="false">IF(F17="","",COUNTIF('04 Calibration'!J25:J33,"No evidence"))</f>
        <v/>
      </c>
      <c r="G18" s="17" t="str">
        <f aca="false">IF(G17="","",COUNTIF('04 Calibration'!J34:J42,"No evidence"))</f>
        <v/>
      </c>
      <c r="H18" s="17" t="str">
        <f aca="false">IF(H17="","",COUNTIF('04 Calibration'!J43:J51,"No evidence"))</f>
        <v/>
      </c>
      <c r="I18" s="17" t="str">
        <f aca="false">IF(I17="","",COUNTIF('04 Calibration'!J52:J60,"No evidence"))</f>
        <v/>
      </c>
    </row>
    <row r="19" customFormat="false" ht="15" hidden="false" customHeight="true" outlineLevel="0" collapsed="false">
      <c r="B19" s="6" t="s">
        <v>206</v>
      </c>
      <c r="D19" s="17" t="str">
        <f aca="false">IF(D17="","",COUNTIF('04 Calibration'!J7:J15,"Unresolved"))</f>
        <v/>
      </c>
      <c r="E19" s="17" t="str">
        <f aca="false">IF(E17="","",COUNTIF('04 Calibration'!J16:J24,"Unresolved"))</f>
        <v/>
      </c>
      <c r="F19" s="17" t="str">
        <f aca="false">IF(F17="","",COUNTIF('04 Calibration'!J25:J33,"Unresolved"))</f>
        <v/>
      </c>
      <c r="G19" s="17" t="str">
        <f aca="false">IF(G17="","",COUNTIF('04 Calibration'!J34:J42,"Unresolved"))</f>
        <v/>
      </c>
      <c r="H19" s="17" t="str">
        <f aca="false">IF(H17="","",COUNTIF('04 Calibration'!J43:J51,"Unresolved"))</f>
        <v/>
      </c>
      <c r="I19" s="17" t="str">
        <f aca="false">IF(I17="","",COUNTIF('04 Calibration'!J52:J60,"Unresolved"))</f>
        <v/>
      </c>
    </row>
    <row r="20" customFormat="false" ht="15" hidden="false" customHeight="true" outlineLevel="0" collapsed="false">
      <c r="B20" s="6" t="s">
        <v>207</v>
      </c>
      <c r="D20" s="17" t="str">
        <f aca="false">IF(D17="","",IF(D18&gt;0,"Incomplete",""))</f>
        <v/>
      </c>
      <c r="E20" s="17" t="str">
        <f aca="false">IF(E17="","",IF(E18&gt;0,"Incomplete",""))</f>
        <v/>
      </c>
      <c r="F20" s="17" t="str">
        <f aca="false">IF(F17="","",IF(F18&gt;0,"Incomplete",""))</f>
        <v/>
      </c>
      <c r="G20" s="17" t="str">
        <f aca="false">IF(G17="","",IF(G18&gt;0,"Incomplete",""))</f>
        <v/>
      </c>
      <c r="H20" s="17" t="str">
        <f aca="false">IF(H17="","",IF(H18&gt;0,"Incomplete",""))</f>
        <v/>
      </c>
      <c r="I20" s="17" t="str">
        <f aca="false">IF(I17="","",IF(I18&gt;0,"Incomplete",""))</f>
        <v/>
      </c>
    </row>
    <row r="21" customFormat="false" ht="15" hidden="false" customHeight="true" outlineLevel="0" collapsed="false"/>
    <row r="22" customFormat="false" ht="148.5" hidden="false" customHeight="true" outlineLevel="0" collapsed="false">
      <c r="A22" s="18" t="s">
        <v>208</v>
      </c>
    </row>
    <row r="23" customFormat="false" ht="15" hidden="false" customHeight="true" outlineLevel="0" collapsed="false">
      <c r="B23" s="6" t="s">
        <v>209</v>
      </c>
      <c r="C23" s="6" t="str">
        <f aca="false">IF(COUNT(D17:I17)=0,"",INDEX($D$6:$I$6,MATCH(MAX(D17:I17),D17:I17,0)))</f>
        <v/>
      </c>
    </row>
    <row r="24" customFormat="false" ht="27" hidden="false" customHeight="true" outlineLevel="0" collapsed="false">
      <c r="B24" s="6" t="s">
        <v>210</v>
      </c>
      <c r="C24" s="7" t="str">
        <f aca="false">IF(C23="","",SUMPRODUCT((INDEX($D$8:$I$16,0,MATCH(MAX(D17:I17),D17:I17,0))&gt;0)*(INDEX($D$8:$I$16,0,MATCH(MAX(D17:I17),D17:I17,0))&lt;=2)*($C$8:$C$16&lt;&gt;"")))</f>
        <v/>
      </c>
      <c r="D24" s="12" t="s">
        <v>211</v>
      </c>
      <c r="E24" s="12"/>
      <c r="F24" s="12"/>
      <c r="G24" s="12"/>
      <c r="H24" s="12"/>
      <c r="I24" s="12"/>
    </row>
  </sheetData>
  <mergeCells count="1">
    <mergeCell ref="D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5147"/>
    <pageSetUpPr fitToPage="tru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212</v>
      </c>
    </row>
    <row r="3" customFormat="false" ht="15" hidden="false" customHeight="false" outlineLevel="0" collapsed="false">
      <c r="A3" s="3" t="s">
        <v>213</v>
      </c>
    </row>
    <row r="4" customFormat="false" ht="15" hidden="false" customHeight="true" outlineLevel="0" collapsed="false"/>
    <row r="5" customFormat="false" ht="15" hidden="false" customHeight="true" outlineLevel="0" collapsed="false">
      <c r="A5" s="6" t="s">
        <v>214</v>
      </c>
      <c r="C5" s="9"/>
      <c r="E5" s="6" t="s">
        <v>215</v>
      </c>
      <c r="F5" s="14"/>
    </row>
    <row r="6" customFormat="false" ht="15" hidden="false" customHeight="true" outlineLevel="0" collapsed="false"/>
    <row r="7" customFormat="false" ht="27" hidden="false" customHeight="true" outlineLevel="0" collapsed="false">
      <c r="A7" s="4" t="s">
        <v>216</v>
      </c>
      <c r="B7" s="5" t="s">
        <v>217</v>
      </c>
      <c r="C7" s="5" t="s">
        <v>218</v>
      </c>
      <c r="D7" s="5" t="s">
        <v>219</v>
      </c>
      <c r="E7" s="5" t="s">
        <v>220</v>
      </c>
      <c r="F7" s="5" t="s">
        <v>221</v>
      </c>
      <c r="G7" s="5" t="s">
        <v>222</v>
      </c>
      <c r="H7" s="5" t="s">
        <v>223</v>
      </c>
      <c r="I7" s="5" t="s">
        <v>222</v>
      </c>
      <c r="J7" s="5" t="s">
        <v>224</v>
      </c>
    </row>
    <row r="8" customFormat="false" ht="15" hidden="false" customHeight="true" outlineLevel="0" collapsed="false">
      <c r="A8" s="6" t="s">
        <v>225</v>
      </c>
      <c r="B8" s="15" t="str">
        <f aca="false">IF($F$5="","",$F$5+90)</f>
        <v/>
      </c>
      <c r="C8" s="16"/>
      <c r="D8" s="9"/>
      <c r="E8" s="16"/>
      <c r="F8" s="16"/>
      <c r="G8" s="9"/>
      <c r="H8" s="16"/>
      <c r="I8" s="9"/>
      <c r="J8" s="9"/>
    </row>
    <row r="9" customFormat="false" ht="15" hidden="false" customHeight="true" outlineLevel="0" collapsed="false">
      <c r="A9" s="6" t="s">
        <v>226</v>
      </c>
      <c r="B9" s="15" t="str">
        <f aca="false">IF($F$5="","",$F$5+180)</f>
        <v/>
      </c>
      <c r="C9" s="16"/>
      <c r="D9" s="9"/>
      <c r="E9" s="16"/>
      <c r="F9" s="16"/>
      <c r="G9" s="9"/>
      <c r="H9" s="16"/>
      <c r="I9" s="9"/>
      <c r="J9" s="9"/>
    </row>
    <row r="10" customFormat="false" ht="15" hidden="false" customHeight="true" outlineLevel="0" collapsed="false">
      <c r="A10" s="6" t="s">
        <v>227</v>
      </c>
      <c r="B10" s="15" t="str">
        <f aca="false">IF($F$5="","",$F$5+365)</f>
        <v/>
      </c>
      <c r="C10" s="16"/>
      <c r="D10" s="9"/>
      <c r="E10" s="16"/>
      <c r="F10" s="16"/>
      <c r="G10" s="9"/>
      <c r="H10" s="16"/>
      <c r="I10" s="9"/>
      <c r="J10" s="9"/>
    </row>
  </sheetData>
  <dataValidations count="4">
    <dataValidation allowBlank="true" errorStyle="stop" operator="between" showDropDown="false" showErrorMessage="true" showInputMessage="false" sqref="C8:C10" type="list">
      <formula1>"Yes,No"</formula1>
      <formula2>0</formula2>
    </dataValidation>
    <dataValidation allowBlank="true" errorStyle="stop" operator="between" showDropDown="false" showErrorMessage="true" showInputMessage="false" sqref="F8:F10" type="list">
      <formula1>"Yes,No"</formula1>
      <formula2>0</formula2>
    </dataValidation>
    <dataValidation allowBlank="true" errorStyle="stop" operator="between" showDropDown="false" showErrorMessage="true" showInputMessage="false" sqref="H8:H10" type="list">
      <formula1>"Yes,Partly,No"</formula1>
      <formula2>0</formula2>
    </dataValidation>
    <dataValidation allowBlank="true" errorStyle="stop" operator="between" showDropDown="false" showErrorMessage="true" showInputMessage="false" sqref="E8:E1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2026-09-30T14:46:42Z</dcterms:created>
  <dc:creator>openpyxl</dc:creator>
  <dc:description/>
  <dc:language>en-US</dc:language>
  <cp:lastModifiedBy/>
  <dcterms:modified xsi:type="dcterms:W3CDTF">2026-09-30T14:46:42Z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