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Assumptions" sheetId="2" state="visible" r:id="rId4"/>
    <sheet name="01 Time log" sheetId="3" state="visible" r:id="rId5"/>
    <sheet name="02 Regi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<sst xmlns="http://schemas.openxmlformats.org/spreadsheetml/2006/main" count="104" uniqueCount="96">
  <si>
    <t xml:space="preserve">CALIBRE BY DAFTAR  ·  INTERNAL</t>
  </si>
  <si>
    <t xml:space="preserve">Engagement time log</t>
  </si>
  <si>
    <t xml:space="preserve">Internal. Never sent to a client. One copy per engagement.</t>
  </si>
  <si>
    <t xml:space="preserve">What this is</t>
  </si>
  <si>
    <t xml:space="preserve">The budget is the scope design. Log all-in founder hours against it, including selling and admin, and test the fee against the founder-hour hurdle. A Verdict that does not clear the hurdle at actual is a scope problem to fix before the next sale, not a rounding error.</t>
  </si>
  <si>
    <t xml:space="preserve">How to use it</t>
  </si>
  <si>
    <t xml:space="preserve">1. Assumptions: confirm the fee and the hurdle. Set a management hour cap only once the founder has decided one.</t>
  </si>
  <si>
    <t xml:space="preserve">2. 01 Time log: enter actual hours as each step closes. Shaded cells are inputs; everything else is a formula.</t>
  </si>
  <si>
    <t xml:space="preserve">3. Write a note against every step that overruns, naming the cause.</t>
  </si>
  <si>
    <t xml:space="preserve">4. 02 Register: when the engagement closes, copy its fee and all-in actual hours into the register.</t>
  </si>
  <si>
    <t xml:space="preserve">Scope</t>
  </si>
  <si>
    <t xml:space="preserve">The fee covers four finalists. A fifth or sixth finalist, a second role or a rubric change after lock is quoted as a written variation; log that time on the variation's own copy of this file, not here.</t>
  </si>
  <si>
    <t xml:space="preserve">The budgets are carried from the earlier panel-calibration time log. The live readout had no budget there, so it is budgeted at zero here: log its actual hours.</t>
  </si>
  <si>
    <t xml:space="preserve">Use statement</t>
  </si>
  <si>
    <t xml:space="preserve">Structured hiring advisory for finance roles. Not a psychometric assessment. Does not predict performance. The decision, and its consequences, rest with the employer.</t>
  </si>
  <si>
    <t xml:space="preserve">Assumptions</t>
  </si>
  <si>
    <t xml:space="preserve">The hurdle is the all-in opportunity cost of one founder hour. Shaded cells are inputs.</t>
  </si>
  <si>
    <t xml:space="preserve">Input</t>
  </si>
  <si>
    <t xml:space="preserve">Value</t>
  </si>
  <si>
    <t xml:space="preserve">Basis</t>
  </si>
  <si>
    <t xml:space="preserve">Founder hour hurdle (USD)</t>
  </si>
  <si>
    <t xml:space="preserve">All-in opportunity cost per founder hour (D/01 benchmark).</t>
  </si>
  <si>
    <t xml:space="preserve">Calibre Verdict fee (USD)</t>
  </si>
  <si>
    <t xml:space="preserve">Rate card, founder decision 5 Oct 2026. Rationale in product/PRICING.md.</t>
  </si>
  <si>
    <t xml:space="preserve">Management hour cap (all-in)</t>
  </si>
  <si>
    <t xml:space="preserve">Not set. A founder decision; leave blank until made.</t>
  </si>
  <si>
    <t xml:space="preserve">Derived</t>
  </si>
  <si>
    <t xml:space="preserve">Measure</t>
  </si>
  <si>
    <t xml:space="preserve">Formula</t>
  </si>
  <si>
    <t xml:space="preserve">Hours available at the hurdle</t>
  </si>
  <si>
    <t xml:space="preserve">Fee divided by the hurdle.</t>
  </si>
  <si>
    <t xml:space="preserve">Headroom, ceiling less cap</t>
  </si>
  <si>
    <t xml:space="preserve">Blank until a cap is set. Negative means the cap is above the hurdle ceiling.</t>
  </si>
  <si>
    <t xml:space="preserve">Budgeted all-in hours</t>
  </si>
  <si>
    <t xml:space="preserve">From sheet 01.</t>
  </si>
  <si>
    <t xml:space="preserve">Headroom at budget</t>
  </si>
  <si>
    <t xml:space="preserve">Hours left before the hurdle is breached. Negative means the budget already fails it.</t>
  </si>
  <si>
    <t xml:space="preserve">Calibre Verdict time log</t>
  </si>
  <si>
    <t xml:space="preserve">Budget is the scope design. Log actuals as each step closes. Shaded cells are inputs.</t>
  </si>
  <si>
    <t xml:space="preserve">Engagement reference</t>
  </si>
  <si>
    <t xml:space="preserve">Role</t>
  </si>
  <si>
    <t xml:space="preserve">Criteria locked on</t>
  </si>
  <si>
    <t xml:space="preserve">Step</t>
  </si>
  <si>
    <t xml:space="preserve">Budget hrs</t>
  </si>
  <si>
    <t xml:space="preserve">Actual hrs</t>
  </si>
  <si>
    <t xml:space="preserve">Variance</t>
  </si>
  <si>
    <t xml:space="preserve">Note</t>
  </si>
  <si>
    <t xml:space="preserve">DELIVERY</t>
  </si>
  <si>
    <t xml:space="preserve">Read · intake call and preparation</t>
  </si>
  <si>
    <t xml:space="preserve">Read · rubric drafting and criteria lock</t>
  </si>
  <si>
    <t xml:space="preserve">Read · structured interview guide</t>
  </si>
  <si>
    <t xml:space="preserve">Read · evidence review, K1</t>
  </si>
  <si>
    <t xml:space="preserve">Read · evidence review, K2</t>
  </si>
  <si>
    <t xml:space="preserve">Read · evidence review, K3</t>
  </si>
  <si>
    <t xml:space="preserve">Read · evidence review, K4</t>
  </si>
  <si>
    <t xml:space="preserve">Score · panel score and evidence-note review</t>
  </si>
  <si>
    <t xml:space="preserve">Compare · divergence review</t>
  </si>
  <si>
    <t xml:space="preserve">Calibrate · session preparation</t>
  </si>
  <si>
    <t xml:space="preserve">Calibrate · session (75 minutes)</t>
  </si>
  <si>
    <t xml:space="preserve">Calibrate · calibrated results</t>
  </si>
  <si>
    <t xml:space="preserve">Verdict · memo drafting</t>
  </si>
  <si>
    <t xml:space="preserve">Verdict · live readout</t>
  </si>
  <si>
    <t xml:space="preserve">Not budgeted in the earlier log. Log the actual.</t>
  </si>
  <si>
    <t xml:space="preserve">Outcomes · 90, 180 and 365-day follow-up</t>
  </si>
  <si>
    <t xml:space="preserve">Delivery subtotal</t>
  </si>
  <si>
    <t xml:space="preserve">SELLING AND ADMIN · UNBILLED</t>
  </si>
  <si>
    <t xml:space="preserve">Budgeted at zero. Log the actuals: the hurdle is tested all-in, not on delivery alone.</t>
  </si>
  <si>
    <t xml:space="preserve">Prospecting and warm outreach attributable to this engagement</t>
  </si>
  <si>
    <t xml:space="preserve">Proposal, rate card and scoping call</t>
  </si>
  <si>
    <t xml:space="preserve">Engagement letter and admin</t>
  </si>
  <si>
    <t xml:space="preserve">Invoicing and collection</t>
  </si>
  <si>
    <t xml:space="preserve">ALL-IN TOTAL</t>
  </si>
  <si>
    <t xml:space="preserve">Economics</t>
  </si>
  <si>
    <t xml:space="preserve">At budget</t>
  </si>
  <si>
    <t xml:space="preserve">At actual</t>
  </si>
  <si>
    <t xml:space="preserve">Test</t>
  </si>
  <si>
    <t xml:space="preserve">All-in founder hours</t>
  </si>
  <si>
    <t xml:space="preserve">Effective rate per hour (USD)</t>
  </si>
  <si>
    <t xml:space="preserve">Must reach the hurdle on Assumptions.</t>
  </si>
  <si>
    <t xml:space="preserve">Headroom to the hurdle (hours)</t>
  </si>
  <si>
    <t xml:space="preserve">Negative means the hours exceed what the fee pays for.</t>
  </si>
  <si>
    <t xml:space="preserve">Hours against management cap</t>
  </si>
  <si>
    <t xml:space="preserve">Blank until a cap is set. Negative is under the cap.</t>
  </si>
  <si>
    <t xml:space="preserve">Clears the hurdle?</t>
  </si>
  <si>
    <t xml:space="preserve">If No, tighten scope or reprice before the next sale.</t>
  </si>
  <si>
    <t xml:space="preserve">Dry run and engagement register</t>
  </si>
  <si>
    <t xml:space="preserve">One row per dry run or paid engagement. After three paid Verdicts, review the fee and the budget against these actuals.</t>
  </si>
  <si>
    <t xml:space="preserve">Date</t>
  </si>
  <si>
    <t xml:space="preserve">Engagement ref</t>
  </si>
  <si>
    <t xml:space="preserve">Fee (USD)</t>
  </si>
  <si>
    <t xml:space="preserve">All-in hrs</t>
  </si>
  <si>
    <t xml:space="preserve">Rate / hr</t>
  </si>
  <si>
    <t xml:space="preserve">Clears hurdle</t>
  </si>
  <si>
    <t xml:space="preserve">What overran, and the scope change made</t>
  </si>
  <si>
    <t xml:space="preserve">Paid to date</t>
  </si>
  <si>
    <t xml:space="preserve">Blended rate across every logged engagement.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</si>
</sst>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\+0.00;\-0.00;0.00"/>
    <numFmt numFmtId="168" formatCode="d\ mmm\ 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265147"/>
      <name val="Plus Jakarta Sans"/>
      <family val="0"/>
      <charset val="1"/>
    </font>
    <font>
      <sz val="18"/>
      <color rgb="FF0E211B"/>
      <name val="Lora"/>
      <family val="0"/>
      <charset val="1"/>
    </font>
    <font>
      <i val="true"/>
      <sz val="9"/>
      <color rgb="FF596B66"/>
      <name val="Plus Jakarta Sans"/>
      <family val="0"/>
      <charset val="1"/>
    </font>
    <font>
      <sz val="13"/>
      <color rgb="FF0E211B"/>
      <name val="Lora"/>
      <family val="0"/>
      <charset val="1"/>
    </font>
    <font>
      <sz val="10"/>
      <color rgb="FF394740"/>
      <name val="Plus Jakarta Sans"/>
      <family val="0"/>
      <charset val="1"/>
    </font>
    <font>
      <b val="true"/>
      <sz val="9"/>
      <color rgb="FFFFFFFF"/>
      <name val="Plus Jakarta Sans"/>
      <family val="0"/>
      <charset val="1"/>
    </font>
    <font>
      <b val="true"/>
      <sz val="10"/>
      <color rgb="FF1C3D35"/>
      <name val="Plus Jakarta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211B"/>
        <bgColor rgb="FF1C3D35"/>
      </patternFill>
    </fill>
    <fill>
      <patternFill patternType="solid">
        <fgColor rgb="FFF0F5F3"/>
        <bgColor rgb="FFFFFFFF"/>
      </patternFill>
    </fill>
    <fill>
      <patternFill patternType="solid">
        <fgColor rgb="FFD5E3DE"/>
        <bgColor rgb="FFF0F5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65147"/>
      </bottom>
      <diagonal/>
    </border>
    <border diagonalUp="false" diagonalDown="false">
      <left/>
      <right/>
      <top/>
      <bottom style="thin">
        <color rgb="FFD5E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5F3"/>
      <rgbColor rgb="FFCCFFFF"/>
      <rgbColor rgb="FF660066"/>
      <rgbColor rgb="FFFF8080"/>
      <rgbColor rgb="FF0066CC"/>
      <rgbColor rgb="FFD5E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B66"/>
      <rgbColor rgb="FF969696"/>
      <rgbColor rgb="FF265147"/>
      <rgbColor rgb="FF339966"/>
      <rgbColor rgb="FF0E211B"/>
      <rgbColor rgb="FF394740"/>
      <rgbColor rgb="FF993300"/>
      <rgbColor rgb="FF993366"/>
      <rgbColor rgb="FF333399"/>
      <rgbColor rgb="FF1C3D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" t="s">
        <v>0</v>
      </c>
    </row>
    <row r="2" customFormat="false" ht="21.7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1.75" hidden="false" customHeight="true" outlineLevel="0" collapsed="false">
      <c r="B5" s="5" t="s">
        <v>3</v>
      </c>
    </row>
    <row r="6" customFormat="false" ht="45" hidden="false" customHeight="true" outlineLevel="0" collapsed="false">
      <c r="B6" s="6" t="s">
        <v>4</v>
      </c>
    </row>
    <row r="7" customFormat="false" ht="21.75" hidden="false" customHeight="true" outlineLevel="0" collapsed="false">
      <c r="B7" s="5" t="s">
        <v>5</v>
      </c>
    </row>
    <row r="8" customFormat="false" ht="30" hidden="false" customHeight="true" outlineLevel="0" collapsed="false">
      <c r="B8" s="6" t="s">
        <v>6</v>
      </c>
    </row>
    <row r="9" customFormat="false" ht="30" hidden="false" customHeight="true" outlineLevel="0" collapsed="false">
      <c r="B9" s="6" t="s">
        <v>7</v>
      </c>
    </row>
    <row r="10" customFormat="false" ht="15" hidden="false" customHeight="true" outlineLevel="0" collapsed="false">
      <c r="B10" s="6" t="s">
        <v>8</v>
      </c>
    </row>
    <row r="11" customFormat="false" ht="15" hidden="false" customHeight="true" outlineLevel="0" collapsed="false">
      <c r="B11" s="6" t="s">
        <v>9</v>
      </c>
    </row>
    <row r="12" customFormat="false" ht="21.75" hidden="false" customHeight="true" outlineLevel="0" collapsed="false">
      <c r="B12" s="5" t="s">
        <v>10</v>
      </c>
    </row>
    <row r="13" customFormat="false" ht="30" hidden="false" customHeight="true" outlineLevel="0" collapsed="false">
      <c r="B13" s="6" t="s">
        <v>11</v>
      </c>
    </row>
    <row r="14" customFormat="false" ht="30" hidden="false" customHeight="true" outlineLevel="0" collapsed="false">
      <c r="B14" s="6" t="s">
        <v>12</v>
      </c>
    </row>
    <row r="15" customFormat="false" ht="21.75" hidden="false" customHeight="true" outlineLevel="0" collapsed="false">
      <c r="B15" s="5" t="s">
        <v>13</v>
      </c>
    </row>
    <row r="16" customFormat="false" ht="30" hidden="false" customHeight="true" outlineLevel="0" collapsed="false">
      <c r="B16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62"/>
  </cols>
  <sheetData>
    <row r="1" customFormat="false" ht="15" hidden="false" customHeight="true" outlineLevel="0" collapsed="false">
      <c r="A1" s="2" t="s">
        <v>0</v>
      </c>
    </row>
    <row r="2" customFormat="false" ht="21.75" hidden="false" customHeight="true" outlineLevel="0" collapsed="false">
      <c r="A2" s="3" t="s">
        <v>15</v>
      </c>
    </row>
    <row r="3" customFormat="false" ht="15" hidden="false" customHeight="true" outlineLevel="0" collapsed="false">
      <c r="A3" s="4" t="s">
        <v>16</v>
      </c>
    </row>
    <row r="5" customFormat="false" ht="15" hidden="false" customHeight="true" outlineLevel="0" collapsed="false">
      <c r="B5" s="7" t="s">
        <v>17</v>
      </c>
      <c r="C5" s="7" t="s">
        <v>18</v>
      </c>
      <c r="D5" s="7" t="s">
        <v>19</v>
      </c>
    </row>
    <row r="6" customFormat="false" ht="15" hidden="false" customHeight="true" outlineLevel="0" collapsed="false">
      <c r="B6" s="8" t="s">
        <v>20</v>
      </c>
      <c r="C6" s="9" t="n">
        <v>350</v>
      </c>
      <c r="D6" s="10" t="s">
        <v>21</v>
      </c>
    </row>
    <row r="7" customFormat="false" ht="15" hidden="false" customHeight="true" outlineLevel="0" collapsed="false">
      <c r="B7" s="8" t="s">
        <v>22</v>
      </c>
      <c r="C7" s="9" t="n">
        <v>7000</v>
      </c>
      <c r="D7" s="10" t="s">
        <v>23</v>
      </c>
    </row>
    <row r="8" customFormat="false" ht="15" hidden="false" customHeight="true" outlineLevel="0" collapsed="false">
      <c r="B8" s="8" t="s">
        <v>24</v>
      </c>
      <c r="C8" s="11" t="n">
        <v>16</v>
      </c>
      <c r="D8" s="10" t="s">
        <v>25</v>
      </c>
    </row>
    <row r="10" customFormat="false" ht="15.75" hidden="false" customHeight="true" outlineLevel="0" collapsed="false">
      <c r="B10" s="12" t="s">
        <v>26</v>
      </c>
    </row>
    <row r="11" customFormat="false" ht="15" hidden="false" customHeight="true" outlineLevel="0" collapsed="false">
      <c r="B11" s="7" t="s">
        <v>27</v>
      </c>
      <c r="C11" s="7" t="s">
        <v>18</v>
      </c>
      <c r="D11" s="7" t="s">
        <v>28</v>
      </c>
    </row>
    <row r="12" customFormat="false" ht="15" hidden="false" customHeight="true" outlineLevel="0" collapsed="false">
      <c r="B12" s="8" t="s">
        <v>29</v>
      </c>
      <c r="C12" s="13" t="n">
        <f aca="false">IF(OR(N(C6)=0,N(C7)=0),"",C7/C6)</f>
        <v>20</v>
      </c>
      <c r="D12" s="10" t="s">
        <v>30</v>
      </c>
    </row>
    <row r="13" customFormat="false" ht="15" hidden="false" customHeight="true" outlineLevel="0" collapsed="false">
      <c r="B13" s="8" t="s">
        <v>31</v>
      </c>
      <c r="C13" s="14" t="n">
        <f aca="false">IF(OR(C8="",C12=""),"",C12-C8)</f>
        <v>4</v>
      </c>
      <c r="D13" s="10" t="s">
        <v>32</v>
      </c>
    </row>
    <row r="14" customFormat="false" ht="15" hidden="false" customHeight="true" outlineLevel="0" collapsed="false">
      <c r="B14" s="8" t="s">
        <v>33</v>
      </c>
      <c r="C14" s="13" t="n">
        <f aca="false">'01 Time log'!C33</f>
        <v>15.75</v>
      </c>
      <c r="D14" s="10" t="s">
        <v>34</v>
      </c>
    </row>
    <row r="15" customFormat="false" ht="15" hidden="false" customHeight="true" outlineLevel="0" collapsed="false">
      <c r="B15" s="8" t="s">
        <v>35</v>
      </c>
      <c r="C15" s="14" t="n">
        <f aca="false">IF(C12="","",C12-C14)</f>
        <v>4.25</v>
      </c>
      <c r="D15" s="10" t="s">
        <v>36</v>
      </c>
    </row>
  </sheetData>
  <dataValidations count="1">
    <dataValidation allowBlank="true" error="Enter hours as a number from 0 to 40." errorStyle="stop" errorTitle="Hours" operator="between" showDropDown="false" showErrorMessage="true" showInputMessage="false" sqref="C8" type="decimal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5" min="3" style="1" width="11"/>
    <col collapsed="false" customWidth="true" hidden="false" outlineLevel="0" max="6" min="6" style="1" width="46"/>
  </cols>
  <sheetData>
    <row r="1" customFormat="false" ht="15" hidden="false" customHeight="true" outlineLevel="0" collapsed="false">
      <c r="A1" s="2" t="s">
        <v>0</v>
      </c>
    </row>
    <row r="2" customFormat="false" ht="21.75" hidden="false" customHeight="true" outlineLevel="0" collapsed="false">
      <c r="A2" s="3" t="s">
        <v>37</v>
      </c>
    </row>
    <row r="3" customFormat="false" ht="15" hidden="false" customHeight="true" outlineLevel="0" collapsed="false">
      <c r="A3" s="4" t="s">
        <v>38</v>
      </c>
    </row>
    <row r="4" customFormat="false" ht="15" hidden="false" customHeight="true" outlineLevel="0" collapsed="false">
      <c r="B4" s="8" t="s">
        <v>39</v>
      </c>
      <c r="C4" s="15"/>
      <c r="D4" s="15"/>
      <c r="E4" s="15"/>
    </row>
    <row r="5" customFormat="false" ht="15" hidden="false" customHeight="true" outlineLevel="0" collapsed="false">
      <c r="B5" s="8" t="s">
        <v>40</v>
      </c>
      <c r="C5" s="15"/>
      <c r="D5" s="15"/>
      <c r="E5" s="15"/>
    </row>
    <row r="6" customFormat="false" ht="15" hidden="false" customHeight="true" outlineLevel="0" collapsed="false">
      <c r="B6" s="8" t="s">
        <v>41</v>
      </c>
      <c r="C6" s="16"/>
      <c r="D6" s="16"/>
      <c r="E6" s="16"/>
    </row>
    <row r="8" customFormat="false" ht="15" hidden="false" customHeight="true" outlineLevel="0" collapsed="false"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</row>
    <row r="9" customFormat="false" ht="15" hidden="false" customHeight="true" outlineLevel="0" collapsed="false">
      <c r="B9" s="17" t="s">
        <v>47</v>
      </c>
    </row>
    <row r="10" customFormat="false" ht="15" hidden="false" customHeight="true" outlineLevel="0" collapsed="false">
      <c r="B10" s="18" t="s">
        <v>48</v>
      </c>
      <c r="C10" s="13" t="n">
        <v>1.5</v>
      </c>
      <c r="D10" s="11" t="n">
        <v>1.5</v>
      </c>
      <c r="E10" s="14" t="n">
        <f aca="false">IF(D10="","",D10-C10)</f>
        <v>0</v>
      </c>
      <c r="F10" s="15"/>
    </row>
    <row r="11" customFormat="false" ht="15" hidden="false" customHeight="true" outlineLevel="0" collapsed="false">
      <c r="B11" s="18" t="s">
        <v>49</v>
      </c>
      <c r="C11" s="13" t="n">
        <v>1</v>
      </c>
      <c r="D11" s="11" t="n">
        <v>1</v>
      </c>
      <c r="E11" s="14" t="n">
        <f aca="false">IF(D11="","",D11-C11)</f>
        <v>0</v>
      </c>
      <c r="F11" s="15"/>
    </row>
    <row r="12" customFormat="false" ht="15" hidden="false" customHeight="true" outlineLevel="0" collapsed="false">
      <c r="B12" s="18" t="s">
        <v>50</v>
      </c>
      <c r="C12" s="13" t="n">
        <v>1.5</v>
      </c>
      <c r="D12" s="11" t="n">
        <v>1.5</v>
      </c>
      <c r="E12" s="14" t="n">
        <f aca="false">IF(D12="","",D12-C12)</f>
        <v>0</v>
      </c>
      <c r="F12" s="15"/>
    </row>
    <row r="13" customFormat="false" ht="15" hidden="false" customHeight="true" outlineLevel="0" collapsed="false">
      <c r="B13" s="18" t="s">
        <v>51</v>
      </c>
      <c r="C13" s="13" t="n">
        <v>0.75</v>
      </c>
      <c r="D13" s="11" t="n">
        <v>0.75</v>
      </c>
      <c r="E13" s="14" t="n">
        <f aca="false">IF(D13="","",D13-C13)</f>
        <v>0</v>
      </c>
      <c r="F13" s="15"/>
    </row>
    <row r="14" customFormat="false" ht="15" hidden="false" customHeight="true" outlineLevel="0" collapsed="false">
      <c r="B14" s="18" t="s">
        <v>52</v>
      </c>
      <c r="C14" s="13" t="n">
        <v>0.75</v>
      </c>
      <c r="D14" s="11" t="n">
        <v>0.75</v>
      </c>
      <c r="E14" s="14" t="n">
        <f aca="false">IF(D14="","",D14-C14)</f>
        <v>0</v>
      </c>
      <c r="F14" s="15"/>
    </row>
    <row r="15" customFormat="false" ht="15" hidden="false" customHeight="true" outlineLevel="0" collapsed="false">
      <c r="B15" s="18" t="s">
        <v>53</v>
      </c>
      <c r="C15" s="13" t="n">
        <v>0.75</v>
      </c>
      <c r="D15" s="11" t="n">
        <v>0.75</v>
      </c>
      <c r="E15" s="14" t="n">
        <f aca="false">IF(D15="","",D15-C15)</f>
        <v>0</v>
      </c>
      <c r="F15" s="15"/>
    </row>
    <row r="16" customFormat="false" ht="15" hidden="false" customHeight="true" outlineLevel="0" collapsed="false">
      <c r="B16" s="18" t="s">
        <v>54</v>
      </c>
      <c r="C16" s="13" t="n">
        <v>0.75</v>
      </c>
      <c r="D16" s="11" t="n">
        <v>0.75</v>
      </c>
      <c r="E16" s="14" t="n">
        <f aca="false">IF(D16="","",D16-C16)</f>
        <v>0</v>
      </c>
      <c r="F16" s="15"/>
    </row>
    <row r="17" customFormat="false" ht="15" hidden="false" customHeight="true" outlineLevel="0" collapsed="false">
      <c r="B17" s="18" t="s">
        <v>55</v>
      </c>
      <c r="C17" s="13" t="n">
        <v>1.5</v>
      </c>
      <c r="D17" s="11" t="n">
        <v>1.5</v>
      </c>
      <c r="E17" s="14" t="n">
        <f aca="false">IF(D17="","",D17-C17)</f>
        <v>0</v>
      </c>
      <c r="F17" s="15"/>
    </row>
    <row r="18" customFormat="false" ht="15" hidden="false" customHeight="true" outlineLevel="0" collapsed="false">
      <c r="B18" s="18" t="s">
        <v>56</v>
      </c>
      <c r="C18" s="13" t="n">
        <v>1.5</v>
      </c>
      <c r="D18" s="11" t="n">
        <v>1.5</v>
      </c>
      <c r="E18" s="14" t="n">
        <f aca="false">IF(D18="","",D18-C18)</f>
        <v>0</v>
      </c>
      <c r="F18" s="15"/>
    </row>
    <row r="19" customFormat="false" ht="15" hidden="false" customHeight="true" outlineLevel="0" collapsed="false">
      <c r="B19" s="18" t="s">
        <v>57</v>
      </c>
      <c r="C19" s="13" t="n">
        <v>1</v>
      </c>
      <c r="D19" s="11" t="n">
        <v>1</v>
      </c>
      <c r="E19" s="14" t="n">
        <f aca="false">IF(D19="","",D19-C19)</f>
        <v>0</v>
      </c>
      <c r="F19" s="15"/>
    </row>
    <row r="20" customFormat="false" ht="15" hidden="false" customHeight="true" outlineLevel="0" collapsed="false">
      <c r="B20" s="18" t="s">
        <v>58</v>
      </c>
      <c r="C20" s="13" t="n">
        <v>1.25</v>
      </c>
      <c r="D20" s="11" t="n">
        <v>1.25</v>
      </c>
      <c r="E20" s="14" t="n">
        <f aca="false">IF(D20="","",D20-C20)</f>
        <v>0</v>
      </c>
      <c r="F20" s="15"/>
    </row>
    <row r="21" customFormat="false" ht="15" hidden="false" customHeight="true" outlineLevel="0" collapsed="false">
      <c r="B21" s="18" t="s">
        <v>59</v>
      </c>
      <c r="C21" s="13" t="n">
        <v>1</v>
      </c>
      <c r="D21" s="11" t="n">
        <v>1</v>
      </c>
      <c r="E21" s="14" t="n">
        <f aca="false">IF(D21="","",D21-C21)</f>
        <v>0</v>
      </c>
      <c r="F21" s="15"/>
    </row>
    <row r="22" customFormat="false" ht="15" hidden="false" customHeight="true" outlineLevel="0" collapsed="false">
      <c r="B22" s="18" t="s">
        <v>60</v>
      </c>
      <c r="C22" s="13" t="n">
        <v>2</v>
      </c>
      <c r="D22" s="11" t="n">
        <v>2</v>
      </c>
      <c r="E22" s="14" t="n">
        <f aca="false">IF(D22="","",D22-C22)</f>
        <v>0</v>
      </c>
      <c r="F22" s="15"/>
    </row>
    <row r="23" customFormat="false" ht="15" hidden="false" customHeight="true" outlineLevel="0" collapsed="false">
      <c r="B23" s="18" t="s">
        <v>61</v>
      </c>
      <c r="C23" s="13" t="n">
        <v>0</v>
      </c>
      <c r="D23" s="11" t="n">
        <v>1</v>
      </c>
      <c r="E23" s="14" t="n">
        <f aca="false">IF(D23="","",D23-C23)</f>
        <v>1</v>
      </c>
      <c r="F23" s="10" t="s">
        <v>62</v>
      </c>
    </row>
    <row r="24" customFormat="false" ht="15" hidden="false" customHeight="true" outlineLevel="0" collapsed="false">
      <c r="B24" s="18" t="s">
        <v>63</v>
      </c>
      <c r="C24" s="13" t="n">
        <v>0.5</v>
      </c>
      <c r="D24" s="11" t="n">
        <v>0.5</v>
      </c>
      <c r="E24" s="14" t="n">
        <f aca="false">IF(D24="","",D24-C24)</f>
        <v>0</v>
      </c>
      <c r="F24" s="15"/>
    </row>
    <row r="25" customFormat="false" ht="15" hidden="false" customHeight="true" outlineLevel="0" collapsed="false">
      <c r="B25" s="19" t="s">
        <v>64</v>
      </c>
      <c r="C25" s="20" t="n">
        <f aca="false">SUM(C10:C24)</f>
        <v>15.75</v>
      </c>
      <c r="D25" s="20" t="n">
        <f aca="false">IF(COUNT(D10:D24)=0,"",SUM(D10:D24))</f>
        <v>16.75</v>
      </c>
      <c r="E25" s="21" t="n">
        <f aca="false">IF(D25="","",D25-C25)</f>
        <v>1</v>
      </c>
      <c r="F25" s="22"/>
    </row>
    <row r="27" customFormat="false" ht="15" hidden="false" customHeight="true" outlineLevel="0" collapsed="false">
      <c r="B27" s="17" t="s">
        <v>65</v>
      </c>
    </row>
    <row r="28" customFormat="false" ht="15" hidden="false" customHeight="true" outlineLevel="0" collapsed="false">
      <c r="B28" s="10" t="s">
        <v>66</v>
      </c>
      <c r="C28" s="10"/>
      <c r="D28" s="10"/>
      <c r="E28" s="10"/>
      <c r="F28" s="10"/>
    </row>
    <row r="29" customFormat="false" ht="15" hidden="false" customHeight="true" outlineLevel="0" collapsed="false">
      <c r="B29" s="18" t="s">
        <v>67</v>
      </c>
      <c r="C29" s="13" t="n">
        <v>0</v>
      </c>
      <c r="D29" s="11" t="n">
        <v>1</v>
      </c>
      <c r="E29" s="14" t="n">
        <f aca="false">IF(D29="","",D29-C29)</f>
        <v>1</v>
      </c>
      <c r="F29" s="15"/>
    </row>
    <row r="30" customFormat="false" ht="15" hidden="false" customHeight="true" outlineLevel="0" collapsed="false">
      <c r="B30" s="18" t="s">
        <v>68</v>
      </c>
      <c r="C30" s="13" t="n">
        <v>0</v>
      </c>
      <c r="D30" s="11" t="n">
        <v>0.5</v>
      </c>
      <c r="E30" s="14" t="n">
        <f aca="false">IF(D30="","",D30-C30)</f>
        <v>0.5</v>
      </c>
      <c r="F30" s="15"/>
    </row>
    <row r="31" customFormat="false" ht="15" hidden="false" customHeight="true" outlineLevel="0" collapsed="false">
      <c r="B31" s="18" t="s">
        <v>69</v>
      </c>
      <c r="C31" s="13" t="n">
        <v>0</v>
      </c>
      <c r="D31" s="11" t="n">
        <v>0.5</v>
      </c>
      <c r="E31" s="14" t="n">
        <f aca="false">IF(D31="","",D31-C31)</f>
        <v>0.5</v>
      </c>
      <c r="F31" s="15"/>
    </row>
    <row r="32" customFormat="false" ht="15" hidden="false" customHeight="true" outlineLevel="0" collapsed="false">
      <c r="B32" s="18" t="s">
        <v>70</v>
      </c>
      <c r="C32" s="13" t="n">
        <v>0</v>
      </c>
      <c r="D32" s="11" t="n">
        <v>0.25</v>
      </c>
      <c r="E32" s="14" t="n">
        <f aca="false">IF(D32="","",D32-C32)</f>
        <v>0.25</v>
      </c>
      <c r="F32" s="15"/>
    </row>
    <row r="33" customFormat="false" ht="15" hidden="false" customHeight="true" outlineLevel="0" collapsed="false">
      <c r="B33" s="19" t="s">
        <v>71</v>
      </c>
      <c r="C33" s="20" t="n">
        <f aca="false">C25+SUM(C29:C32)</f>
        <v>15.75</v>
      </c>
      <c r="D33" s="20" t="n">
        <f aca="false">IF(COUNT(D10:D24,D29:D32)=0,"",SUM(D10:D24,D29:D32))</f>
        <v>19</v>
      </c>
      <c r="E33" s="21" t="n">
        <f aca="false">IF(D33="","",D33-C33)</f>
        <v>3.25</v>
      </c>
      <c r="F33" s="22"/>
    </row>
    <row r="35" customFormat="false" ht="15.75" hidden="false" customHeight="true" outlineLevel="0" collapsed="false">
      <c r="B35" s="12" t="s">
        <v>72</v>
      </c>
    </row>
    <row r="36" customFormat="false" ht="15" hidden="false" customHeight="true" outlineLevel="0" collapsed="false">
      <c r="B36" s="7" t="s">
        <v>27</v>
      </c>
      <c r="C36" s="7" t="s">
        <v>73</v>
      </c>
      <c r="D36" s="7" t="s">
        <v>74</v>
      </c>
      <c r="E36" s="7"/>
      <c r="F36" s="7" t="s">
        <v>75</v>
      </c>
    </row>
    <row r="37" customFormat="false" ht="15" hidden="false" customHeight="true" outlineLevel="0" collapsed="false">
      <c r="B37" s="8" t="s">
        <v>76</v>
      </c>
      <c r="C37" s="13" t="n">
        <f aca="false">C33</f>
        <v>15.75</v>
      </c>
      <c r="D37" s="13" t="n">
        <f aca="false">D33</f>
        <v>19</v>
      </c>
      <c r="F37" s="10"/>
    </row>
    <row r="38" customFormat="false" ht="15" hidden="false" customHeight="true" outlineLevel="0" collapsed="false">
      <c r="B38" s="8" t="s">
        <v>77</v>
      </c>
      <c r="C38" s="23" t="n">
        <f aca="false">IF(N(C37)=0,"",Assumptions!$C$7/C37)</f>
        <v>444.444444444444</v>
      </c>
      <c r="D38" s="23" t="n">
        <f aca="false">IF(N(D37)=0,"",Assumptions!$C$7/D37)</f>
        <v>368.421052631579</v>
      </c>
      <c r="F38" s="10" t="s">
        <v>78</v>
      </c>
    </row>
    <row r="39" customFormat="false" ht="15" hidden="false" customHeight="true" outlineLevel="0" collapsed="false">
      <c r="B39" s="8" t="s">
        <v>29</v>
      </c>
      <c r="C39" s="13" t="n">
        <f aca="false">Assumptions!$C$12</f>
        <v>20</v>
      </c>
      <c r="D39" s="13" t="n">
        <f aca="false">IF(D37="","",Assumptions!$C$12)</f>
        <v>20</v>
      </c>
      <c r="F39" s="10" t="s">
        <v>30</v>
      </c>
    </row>
    <row r="40" customFormat="false" ht="15" hidden="false" customHeight="true" outlineLevel="0" collapsed="false">
      <c r="B40" s="8" t="s">
        <v>79</v>
      </c>
      <c r="C40" s="14" t="n">
        <f aca="false">IF(C39="","",C39-C37)</f>
        <v>4.25</v>
      </c>
      <c r="D40" s="14" t="n">
        <f aca="false">IF(OR(D37="",D39=""),"",D39-D37)</f>
        <v>1</v>
      </c>
      <c r="F40" s="10" t="s">
        <v>80</v>
      </c>
    </row>
    <row r="41" customFormat="false" ht="15" hidden="false" customHeight="true" outlineLevel="0" collapsed="false">
      <c r="B41" s="8" t="s">
        <v>81</v>
      </c>
      <c r="C41" s="14" t="n">
        <f aca="false">IF(Assumptions!$C$8="","",C37-Assumptions!$C$8)</f>
        <v>-0.25</v>
      </c>
      <c r="D41" s="14" t="n">
        <f aca="false">IF(OR(Assumptions!$C$8="",D37=""),"",D37-Assumptions!$C$8)</f>
        <v>3</v>
      </c>
      <c r="F41" s="10" t="s">
        <v>82</v>
      </c>
    </row>
    <row r="42" customFormat="false" ht="15" hidden="false" customHeight="true" outlineLevel="0" collapsed="false">
      <c r="B42" s="8" t="s">
        <v>83</v>
      </c>
      <c r="C42" s="24" t="str">
        <f aca="false">IF(C38="","",IF(C38&gt;=Assumptions!$C$6,"Yes","No"))</f>
        <v>Yes</v>
      </c>
      <c r="D42" s="24" t="str">
        <f aca="false">IF(D38="","",IF(D38&gt;=Assumptions!$C$6,"Yes","No"))</f>
        <v>Yes</v>
      </c>
      <c r="F42" s="10" t="s">
        <v>84</v>
      </c>
    </row>
  </sheetData>
  <mergeCells count="4">
    <mergeCell ref="C4:E4"/>
    <mergeCell ref="C5:E5"/>
    <mergeCell ref="C6:E6"/>
    <mergeCell ref="B28:F28"/>
  </mergeCells>
  <dataValidations count="1">
    <dataValidation allowBlank="true" error="Enter hours as a number from 0 to 40." errorStyle="stop" errorTitle="Hours" operator="between" showDropDown="false" showErrorMessage="true" showInputMessage="false" sqref="D10:D24 D29:D32" type="decimal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7" min="5" style="1" width="11"/>
    <col collapsed="false" customWidth="true" hidden="false" outlineLevel="0" max="8" min="8" style="1" width="10"/>
    <col collapsed="false" customWidth="true" hidden="false" outlineLevel="0" max="9" min="9" style="1" width="44"/>
  </cols>
  <sheetData>
    <row r="1" customFormat="false" ht="15" hidden="false" customHeight="true" outlineLevel="0" collapsed="false">
      <c r="A1" s="2" t="s">
        <v>0</v>
      </c>
    </row>
    <row r="2" customFormat="false" ht="21.75" hidden="false" customHeight="true" outlineLevel="0" collapsed="false">
      <c r="A2" s="3" t="s">
        <v>85</v>
      </c>
    </row>
    <row r="3" customFormat="false" ht="15" hidden="false" customHeight="true" outlineLevel="0" collapsed="false">
      <c r="A3" s="4" t="s">
        <v>86</v>
      </c>
    </row>
    <row r="5" customFormat="false" ht="15" hidden="false" customHeight="true" outlineLevel="0" collapsed="false">
      <c r="B5" s="7" t="s">
        <v>87</v>
      </c>
      <c r="C5" s="7" t="s">
        <v>88</v>
      </c>
      <c r="D5" s="7" t="s">
        <v>40</v>
      </c>
      <c r="E5" s="7" t="s">
        <v>89</v>
      </c>
      <c r="F5" s="7" t="s">
        <v>90</v>
      </c>
      <c r="G5" s="7" t="s">
        <v>91</v>
      </c>
      <c r="H5" s="7" t="s">
        <v>92</v>
      </c>
      <c r="I5" s="7" t="s">
        <v>93</v>
      </c>
    </row>
    <row r="6" customFormat="false" ht="15" hidden="false" customHeight="true" outlineLevel="0" collapsed="false">
      <c r="B6" s="16"/>
      <c r="C6" s="15"/>
      <c r="D6" s="15"/>
      <c r="E6" s="9" t="n">
        <v>6000</v>
      </c>
      <c r="F6" s="11" t="n">
        <v>19</v>
      </c>
      <c r="G6" s="23" t="n">
        <f aca="false">IF(OR(E6="",N(F6)=0),"",E6/F6)</f>
        <v>315.789473684211</v>
      </c>
      <c r="H6" s="24" t="str">
        <f aca="false">IF(G6="","",IF(G6&gt;=Assumptions!$C$6,"Yes","No"))</f>
        <v>No</v>
      </c>
      <c r="I6" s="15"/>
    </row>
    <row r="7" customFormat="false" ht="15" hidden="false" customHeight="true" outlineLevel="0" collapsed="false">
      <c r="B7" s="16"/>
      <c r="C7" s="15"/>
      <c r="D7" s="15"/>
      <c r="E7" s="9" t="n">
        <v>7000</v>
      </c>
      <c r="F7" s="11" t="n">
        <v>18</v>
      </c>
      <c r="G7" s="23" t="n">
        <f aca="false">IF(OR(E7="",N(F7)=0),"",E7/F7)</f>
        <v>388.888888888889</v>
      </c>
      <c r="H7" s="24" t="str">
        <f aca="false">IF(G7="","",IF(G7&gt;=Assumptions!$C$6,"Yes","No"))</f>
        <v>Yes</v>
      </c>
      <c r="I7" s="15"/>
    </row>
    <row r="8" customFormat="false" ht="15" hidden="false" customHeight="true" outlineLevel="0" collapsed="false">
      <c r="B8" s="16"/>
      <c r="C8" s="15"/>
      <c r="D8" s="15"/>
      <c r="E8" s="9"/>
      <c r="F8" s="11"/>
      <c r="G8" s="23" t="str">
        <f aca="false">IF(OR(E8="",N(F8)=0),"",E8/F8)</f>
        <v/>
      </c>
      <c r="H8" s="24" t="str">
        <f aca="false">IF(G8="","",IF(G8&gt;=Assumptions!$C$6,"Yes","No"))</f>
        <v/>
      </c>
      <c r="I8" s="15"/>
    </row>
    <row r="9" customFormat="false" ht="15" hidden="false" customHeight="true" outlineLevel="0" collapsed="false">
      <c r="B9" s="16"/>
      <c r="C9" s="15"/>
      <c r="D9" s="15"/>
      <c r="E9" s="9"/>
      <c r="F9" s="11"/>
      <c r="G9" s="23" t="str">
        <f aca="false">IF(OR(E9="",N(F9)=0),"",E9/F9)</f>
        <v/>
      </c>
      <c r="H9" s="24" t="str">
        <f aca="false">IF(G9="","",IF(G9&gt;=Assumptions!$C$6,"Yes","No"))</f>
        <v/>
      </c>
      <c r="I9" s="15"/>
    </row>
    <row r="10" customFormat="false" ht="15" hidden="false" customHeight="true" outlineLevel="0" collapsed="false">
      <c r="B10" s="16"/>
      <c r="C10" s="15"/>
      <c r="D10" s="15"/>
      <c r="E10" s="9"/>
      <c r="F10" s="11"/>
      <c r="G10" s="23" t="str">
        <f aca="false">IF(OR(E10="",N(F10)=0),"",E10/F10)</f>
        <v/>
      </c>
      <c r="H10" s="24" t="str">
        <f aca="false">IF(G10="","",IF(G10&gt;=Assumptions!$C$6,"Yes","No"))</f>
        <v/>
      </c>
      <c r="I10" s="15"/>
    </row>
    <row r="11" customFormat="false" ht="15" hidden="false" customHeight="true" outlineLevel="0" collapsed="false">
      <c r="B11" s="16"/>
      <c r="C11" s="15"/>
      <c r="D11" s="15"/>
      <c r="E11" s="9"/>
      <c r="F11" s="11"/>
      <c r="G11" s="23" t="str">
        <f aca="false">IF(OR(E11="",N(F11)=0),"",E11/F11)</f>
        <v/>
      </c>
      <c r="H11" s="24" t="str">
        <f aca="false">IF(G11="","",IF(G11&gt;=Assumptions!$C$6,"Yes","No"))</f>
        <v/>
      </c>
      <c r="I11" s="15"/>
    </row>
    <row r="12" customFormat="false" ht="15" hidden="false" customHeight="true" outlineLevel="0" collapsed="false">
      <c r="B12" s="16"/>
      <c r="C12" s="15"/>
      <c r="D12" s="15"/>
      <c r="E12" s="9"/>
      <c r="F12" s="11"/>
      <c r="G12" s="23" t="str">
        <f aca="false">IF(OR(E12="",N(F12)=0),"",E12/F12)</f>
        <v/>
      </c>
      <c r="H12" s="24" t="str">
        <f aca="false">IF(G12="","",IF(G12&gt;=Assumptions!$C$6,"Yes","No"))</f>
        <v/>
      </c>
      <c r="I12" s="15"/>
    </row>
    <row r="13" customFormat="false" ht="15" hidden="false" customHeight="true" outlineLevel="0" collapsed="false">
      <c r="B13" s="16"/>
      <c r="C13" s="15"/>
      <c r="D13" s="15"/>
      <c r="E13" s="9"/>
      <c r="F13" s="11"/>
      <c r="G13" s="23" t="str">
        <f aca="false">IF(OR(E13="",N(F13)=0),"",E13/F13)</f>
        <v/>
      </c>
      <c r="H13" s="24" t="str">
        <f aca="false">IF(G13="","",IF(G13&gt;=Assumptions!$C$6,"Yes","No"))</f>
        <v/>
      </c>
      <c r="I13" s="15"/>
    </row>
    <row r="14" customFormat="false" ht="15" hidden="false" customHeight="true" outlineLevel="0" collapsed="false">
      <c r="B14" s="16"/>
      <c r="C14" s="15"/>
      <c r="D14" s="15"/>
      <c r="E14" s="9"/>
      <c r="F14" s="11"/>
      <c r="G14" s="23" t="str">
        <f aca="false">IF(OR(E14="",N(F14)=0),"",E14/F14)</f>
        <v/>
      </c>
      <c r="H14" s="24" t="str">
        <f aca="false">IF(G14="","",IF(G14&gt;=Assumptions!$C$6,"Yes","No"))</f>
        <v/>
      </c>
      <c r="I14" s="15"/>
    </row>
    <row r="15" customFormat="false" ht="15" hidden="false" customHeight="true" outlineLevel="0" collapsed="false">
      <c r="B15" s="16"/>
      <c r="C15" s="15"/>
      <c r="D15" s="15"/>
      <c r="E15" s="9"/>
      <c r="F15" s="11"/>
      <c r="G15" s="23" t="str">
        <f aca="false">IF(OR(E15="",N(F15)=0),"",E15/F15)</f>
        <v/>
      </c>
      <c r="H15" s="24" t="str">
        <f aca="false">IF(G15="","",IF(G15&gt;=Assumptions!$C$6,"Yes","No"))</f>
        <v/>
      </c>
      <c r="I15" s="15"/>
    </row>
    <row r="16" customFormat="false" ht="15" hidden="false" customHeight="true" outlineLevel="0" collapsed="false">
      <c r="B16" s="16"/>
      <c r="C16" s="15"/>
      <c r="D16" s="15"/>
      <c r="E16" s="9"/>
      <c r="F16" s="11"/>
      <c r="G16" s="23" t="str">
        <f aca="false">IF(OR(E16="",N(F16)=0),"",E16/F16)</f>
        <v/>
      </c>
      <c r="H16" s="24" t="str">
        <f aca="false">IF(G16="","",IF(G16&gt;=Assumptions!$C$6,"Yes","No"))</f>
        <v/>
      </c>
      <c r="I16" s="15"/>
    </row>
    <row r="17" customFormat="false" ht="15" hidden="false" customHeight="true" outlineLevel="0" collapsed="false">
      <c r="B17" s="16"/>
      <c r="C17" s="15"/>
      <c r="D17" s="15"/>
      <c r="E17" s="9"/>
      <c r="F17" s="11"/>
      <c r="G17" s="23" t="str">
        <f aca="false">IF(OR(E17="",N(F17)=0),"",E17/F17)</f>
        <v/>
      </c>
      <c r="H17" s="24" t="str">
        <f aca="false">IF(G17="","",IF(G17&gt;=Assumptions!$C$6,"Yes","No"))</f>
        <v/>
      </c>
      <c r="I17" s="15"/>
    </row>
    <row r="18" customFormat="false" ht="15" hidden="false" customHeight="true" outlineLevel="0" collapsed="false">
      <c r="B18" s="16"/>
      <c r="C18" s="15"/>
      <c r="D18" s="15"/>
      <c r="E18" s="9"/>
      <c r="F18" s="11"/>
      <c r="G18" s="23" t="str">
        <f aca="false">IF(OR(E18="",N(F18)=0),"",E18/F18)</f>
        <v/>
      </c>
      <c r="H18" s="24" t="str">
        <f aca="false">IF(G18="","",IF(G18&gt;=Assumptions!$C$6,"Yes","No"))</f>
        <v/>
      </c>
      <c r="I18" s="15"/>
    </row>
    <row r="19" customFormat="false" ht="15" hidden="false" customHeight="true" outlineLevel="0" collapsed="false">
      <c r="B19" s="16"/>
      <c r="C19" s="15"/>
      <c r="D19" s="15"/>
      <c r="E19" s="9"/>
      <c r="F19" s="11"/>
      <c r="G19" s="23" t="str">
        <f aca="false">IF(OR(E19="",N(F19)=0),"",E19/F19)</f>
        <v/>
      </c>
      <c r="H19" s="24" t="str">
        <f aca="false">IF(G19="","",IF(G19&gt;=Assumptions!$C$6,"Yes","No"))</f>
        <v/>
      </c>
      <c r="I19" s="15"/>
    </row>
    <row r="20" customFormat="false" ht="15" hidden="false" customHeight="true" outlineLevel="0" collapsed="false">
      <c r="B20" s="16"/>
      <c r="C20" s="15"/>
      <c r="D20" s="15"/>
      <c r="E20" s="9"/>
      <c r="F20" s="11"/>
      <c r="G20" s="23" t="str">
        <f aca="false">IF(OR(E20="",N(F20)=0),"",E20/F20)</f>
        <v/>
      </c>
      <c r="H20" s="24" t="str">
        <f aca="false">IF(G20="","",IF(G20&gt;=Assumptions!$C$6,"Yes","No"))</f>
        <v/>
      </c>
      <c r="I20" s="15"/>
    </row>
    <row r="22" customFormat="false" ht="15" hidden="false" customHeight="true" outlineLevel="0" collapsed="false">
      <c r="B22" s="19" t="s">
        <v>94</v>
      </c>
      <c r="C22" s="19"/>
      <c r="D22" s="19"/>
      <c r="E22" s="25" t="n">
        <f aca="false">IF(COUNT(E6:E20)=0,"",SUM(E6:E20))</f>
        <v>13000</v>
      </c>
      <c r="F22" s="20" t="n">
        <f aca="false">IF(COUNT(F6:F20)=0,"",SUM(F6:F20))</f>
        <v>37</v>
      </c>
      <c r="G22" s="25" t="n">
        <f aca="false">IF(OR(E22="",N(F22)=0),"",E22/F22)</f>
        <v>351.351351351351</v>
      </c>
      <c r="H22" s="26" t="str">
        <f aca="false">IF(G22="","",IF(G22&gt;=Assumptions!$C$6,"Yes","No"))</f>
        <v>Yes</v>
      </c>
      <c r="I22" s="27" t="s">
        <v>95</v>
      </c>
    </row>
  </sheetData>
  <mergeCells count="1">
    <mergeCell ref="B22:D22"/>
  </mergeCells>
  <dataValidations count="1">
    <dataValidation allowBlank="true" error="Enter hours as a number from 0 to 40." errorStyle="stop" errorTitle="Hours" operator="between" showDropDown="false" showErrorMessage="true" showInputMessage="false" sqref="F6:F20" type="decimal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2026-10-05T07:49:01Z</dcterms:created>
  <dc:creator>openpyxl</dc:creator>
  <dc:description/>
  <dc:language>en-US</dc:language>
  <cp:lastModifiedBy/>
  <dcterms:modified xsi:type="dcterms:W3CDTF">2026-10-05T07:49:17Z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